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 activeTab="2"/>
  </bookViews>
  <sheets>
    <sheet name="Compounds" sheetId="3" r:id="rId1"/>
    <sheet name="By_Function" sheetId="1" r:id="rId2"/>
    <sheet name="By_Name" sheetId="2" r:id="rId3"/>
  </sheets>
  <functionGroups/>
  <calcPr calcId="125725"/>
</workbook>
</file>

<file path=xl/calcChain.xml><?xml version="1.0" encoding="utf-8"?>
<calcChain xmlns="http://schemas.openxmlformats.org/spreadsheetml/2006/main">
  <c r="A6" i="1"/>
  <c r="A6" i="2"/>
  <c r="A4"/>
  <c r="A5"/>
  <c r="A5" i="1"/>
  <c r="A4"/>
  <c r="A3"/>
  <c r="A2"/>
  <c r="A1"/>
  <c r="A3" i="2"/>
  <c r="A2"/>
  <c r="A1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B5" i="1"/>
  <c r="C5"/>
  <c r="D5"/>
  <c r="E5"/>
  <c r="F5"/>
  <c r="G5"/>
  <c r="H5"/>
  <c r="I5"/>
  <c r="J5"/>
  <c r="K5"/>
  <c r="AY3" i="2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K4" i="1"/>
  <c r="J4"/>
  <c r="I4"/>
  <c r="H4"/>
  <c r="G4"/>
  <c r="F4"/>
  <c r="E4"/>
  <c r="D4"/>
  <c r="C4"/>
  <c r="B4"/>
  <c r="K3"/>
  <c r="J3"/>
  <c r="I3"/>
  <c r="H3"/>
  <c r="G3"/>
  <c r="F3"/>
  <c r="E3"/>
  <c r="D3"/>
  <c r="C3"/>
  <c r="B3"/>
  <c r="D6"/>
  <c r="I6"/>
  <c r="E6"/>
  <c r="F6"/>
  <c r="J6"/>
  <c r="K6"/>
  <c r="G6"/>
  <c r="C6"/>
  <c r="H6"/>
  <c r="B6"/>
  <c r="AV6" i="2"/>
  <c r="X6"/>
  <c r="L6"/>
  <c r="AW6"/>
  <c r="AS6"/>
  <c r="AO6"/>
  <c r="AK6"/>
  <c r="AG6"/>
  <c r="AC6"/>
  <c r="Y6"/>
  <c r="U6"/>
  <c r="Q6"/>
  <c r="M6"/>
  <c r="I6"/>
  <c r="E6"/>
  <c r="AT6"/>
  <c r="AD6"/>
  <c r="V6"/>
  <c r="N6"/>
  <c r="F6"/>
  <c r="AX6"/>
  <c r="AP6"/>
  <c r="AL6"/>
  <c r="AH6"/>
  <c r="Z6"/>
  <c r="R6"/>
  <c r="J6"/>
  <c r="B6"/>
  <c r="AY6"/>
  <c r="AU6"/>
  <c r="AQ6"/>
  <c r="AM6"/>
  <c r="AI6"/>
  <c r="AE6"/>
  <c r="AA6"/>
  <c r="W6"/>
  <c r="S6"/>
  <c r="O6"/>
  <c r="K6"/>
  <c r="G6"/>
  <c r="C6"/>
  <c r="AR6"/>
  <c r="AN6"/>
  <c r="AJ6"/>
  <c r="AF6"/>
  <c r="AB6"/>
  <c r="T6"/>
  <c r="P6"/>
  <c r="H6"/>
  <c r="D6"/>
  <c r="AW4"/>
  <c r="AS4"/>
  <c r="AO4"/>
  <c r="AK4"/>
  <c r="AG4"/>
  <c r="AC4"/>
  <c r="Y4"/>
  <c r="U4"/>
  <c r="Q4"/>
  <c r="M4"/>
  <c r="I4"/>
  <c r="E4"/>
  <c r="B4"/>
  <c r="AR4"/>
  <c r="AF4"/>
  <c r="X4"/>
  <c r="L4"/>
  <c r="AX4"/>
  <c r="AT4"/>
  <c r="AP4"/>
  <c r="AL4"/>
  <c r="AH4"/>
  <c r="AD4"/>
  <c r="Z4"/>
  <c r="V4"/>
  <c r="R4"/>
  <c r="N4"/>
  <c r="J4"/>
  <c r="F4"/>
  <c r="AJ4"/>
  <c r="P4"/>
  <c r="D4"/>
  <c r="AY4"/>
  <c r="AU4"/>
  <c r="AQ4"/>
  <c r="AM4"/>
  <c r="AI4"/>
  <c r="AE4"/>
  <c r="AA4"/>
  <c r="W4"/>
  <c r="S4"/>
  <c r="O4"/>
  <c r="K4"/>
  <c r="G4"/>
  <c r="C4"/>
  <c r="AV4"/>
  <c r="AN4"/>
  <c r="AB4"/>
  <c r="T4"/>
  <c r="H4"/>
  <c r="AX2"/>
  <c r="AT2"/>
  <c r="AP2"/>
  <c r="AL2"/>
  <c r="AH2"/>
  <c r="AD2"/>
  <c r="Z2"/>
  <c r="V2"/>
  <c r="R2"/>
  <c r="J2"/>
  <c r="F2"/>
  <c r="B2"/>
  <c r="D2" i="1"/>
  <c r="AY2" i="2"/>
  <c r="AU2"/>
  <c r="AQ2"/>
  <c r="AM2"/>
  <c r="AI2"/>
  <c r="AE2"/>
  <c r="AA2"/>
  <c r="W2"/>
  <c r="S2"/>
  <c r="O2"/>
  <c r="K2"/>
  <c r="G2"/>
  <c r="C2"/>
  <c r="I2" i="1"/>
  <c r="E2"/>
  <c r="AV2" i="2"/>
  <c r="AR2"/>
  <c r="AN2"/>
  <c r="AJ2"/>
  <c r="AF2"/>
  <c r="AB2"/>
  <c r="X2"/>
  <c r="T2"/>
  <c r="P2"/>
  <c r="L2"/>
  <c r="H2"/>
  <c r="D2"/>
  <c r="J2" i="1"/>
  <c r="F2"/>
  <c r="B2"/>
  <c r="AW2" i="2"/>
  <c r="AS2"/>
  <c r="AO2"/>
  <c r="AK2"/>
  <c r="AG2"/>
  <c r="AC2"/>
  <c r="Y2"/>
  <c r="U2"/>
  <c r="Q2"/>
  <c r="M2"/>
  <c r="I2"/>
  <c r="E2"/>
  <c r="K2" i="1"/>
  <c r="G2"/>
  <c r="C2"/>
  <c r="N2" i="2"/>
  <c r="H2" i="1"/>
</calcChain>
</file>

<file path=xl/sharedStrings.xml><?xml version="1.0" encoding="utf-8"?>
<sst xmlns="http://schemas.openxmlformats.org/spreadsheetml/2006/main" count="72" uniqueCount="72">
  <si>
    <t>CC(=O)O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</si>
  <si>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</si>
  <si>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</si>
  <si>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</si>
  <si>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</si>
  <si>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</si>
  <si>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</si>
  <si>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</si>
  <si>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</si>
  <si>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</si>
  <si>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</si>
  <si>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</si>
  <si>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</si>
  <si>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</si>
  <si>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</si>
  <si>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</si>
  <si>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</si>
  <si>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</si>
  <si>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</si>
  <si>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</si>
  <si>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</si>
  <si>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</si>
  <si>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</si>
  <si>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</si>
  <si>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</si>
  <si>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</si>
  <si>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</si>
  <si>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</si>
  <si>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</si>
  <si>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</si>
  <si>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</si>
  <si>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</si>
  <si>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</si>
  <si>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</si>
  <si>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</si>
  <si>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</si>
  <si>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</si>
  <si>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</si>
  <si>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</si>
  <si>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</si>
  <si>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</si>
  <si>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</si>
  <si>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</si>
  <si>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</si>
  <si>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</si>
  <si>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</si>
  <si>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</si>
  <si>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</si>
  <si>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</si>
  <si>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</si>
  <si>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</si>
  <si>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</si>
  <si>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</si>
  <si>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</si>
  <si>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</si>
  <si>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</si>
  <si>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</si>
  <si>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</si>
  <si>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</si>
  <si>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</si>
  <si>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</si>
  <si>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</si>
  <si>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CCOCC</t>
    <phoneticPr fontId="1"/>
  </si>
  <si>
    <t>Name</t>
    <phoneticPr fontId="1"/>
  </si>
  <si>
    <t>ethane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</si>
  <si>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</si>
  <si>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</si>
  <si>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</si>
  <si>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</si>
  <si>
    <t>c1ccccc1</t>
  </si>
  <si>
    <t>benzen</t>
    <phoneticPr fontId="1"/>
  </si>
  <si>
    <t>CC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</si>
</sst>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6"/>
  <sheetViews>
    <sheetView workbookViewId="0">
      <selection activeCell="B3" sqref="B3"/>
    </sheetView>
  </sheetViews>
  <sheetFormatPr defaultRowHeight="13"/>
  <sheetData>
    <row r="1" spans="1:2">
      <c r="A1" t="s">
        <v>63</v>
      </c>
      <c r="B1" t="s">
        <v>61</v>
      </c>
    </row>
    <row r="2" spans="1:2">
      <c r="A2" t="s">
        <v>64</v>
      </c>
      <c r="B2" t="s">
        <v>71</v>
      </c>
    </row>
    <row r="3" spans="1:2">
      <c r="A3" t="s">
        <v>65</v>
      </c>
      <c r="B3" t="s">
        <v>0</v>
      </c>
    </row>
    <row r="4" spans="1:2">
      <c r="A4" t="s">
        <v>66</v>
      </c>
      <c r="B4" t="s">
        <v>62</v>
      </c>
    </row>
    <row r="5" spans="1:2">
      <c r="A5" t="s">
        <v>67</v>
      </c>
      <c r="B5" t="s">
        <v>68</v>
      </c>
    </row>
    <row r="6" spans="1:2">
      <c r="A6" t="s">
        <v>70</v>
      </c>
      <c r="B6" t="s">
        <v>69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6"/>
  <sheetViews>
    <sheetView workbookViewId="0">
      <selection activeCell="C5" sqref="C5"/>
    </sheetView>
  </sheetViews>
  <sheetFormatPr defaultRowHeight="13"/>
  <sheetData>
    <row r="1" spans="1:11">
      <c r="A1" t="str">
        <f>Compounds!B1</f>
        <v>Smiles</v>
      </c>
      <c r="B1" t="s">
        <v>60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</row>
    <row r="2" spans="1:11">
      <c r="A2" t="str">
        <f>Compounds!B2</f>
        <v>CC</v>
      </c>
      <c r="B2" t="str">
        <f>CDK_AcidicGroupCountDescriptor($A2)</f>
        <v>0</v>
      </c>
      <c r="C2" t="str">
        <f>CDK_ALOGPDescriptor($A2)</f>
        <v>0.6822,0.46539684,10.5566</v>
      </c>
      <c r="D2" t="str">
        <f>CDK_APolDescriptor($A2)</f>
        <v>7.520758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8</v>
      </c>
      <c r="H2" t="str">
        <f>CDK_AutocorrelationDescriptorCharge($A2)</f>
        <v>0,0,0,0,0</v>
      </c>
      <c r="I2" t="str">
        <f>CDK_AutocorrelationDescriptorMass($A2)</f>
        <v>2,1,0,0,0</v>
      </c>
      <c r="J2" t="str">
        <f>CDK_AutocorrelationDescriptorPolarizability($A2)</f>
        <v>29.9460605,14.97303025,0,0,0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6" si="0">CDK_AcidicGroupCountDescriptor($A3)</f>
        <v>1</v>
      </c>
      <c r="C3" t="str">
        <f t="shared" ref="C3:C6" si="1">CDK_ALOGPDescriptor($A3)</f>
        <v>-0.2299,0.05285401,12.6437</v>
      </c>
      <c r="D3" t="str">
        <f t="shared" ref="D3:D6" si="2">CDK_APolDescriptor($A3)</f>
        <v>7.791172</v>
      </c>
      <c r="E3" t="str">
        <f t="shared" ref="E3:E6" si="3">CDK_AromaticAtomsCountDescriptor($A3)</f>
        <v>0</v>
      </c>
      <c r="F3" t="str">
        <f t="shared" ref="F3:F6" si="4">CDK_AromaticBondsCountDescriptor($A3)</f>
        <v>0</v>
      </c>
      <c r="G3" t="str">
        <f t="shared" ref="G3:G6" si="5">CDK_AtomCountDescriptor($A3)</f>
        <v>8</v>
      </c>
      <c r="H3" t="str">
        <f t="shared" ref="H3:H6" si="6">CDK_AutocorrelationDescriptorCharge($A3)</f>
        <v>0.194598407923705,-0.0910121789036757,-0.00628702505817702,0,0</v>
      </c>
      <c r="I3" t="str">
        <f t="shared" ref="I3:I6" si="7">CDK_AutocorrelationDescriptorMass($A3)</f>
        <v>5.54893807108189,3.66418395426513,4.43865298980608,0,0</v>
      </c>
      <c r="J3" t="str">
        <f t="shared" ref="J3:J6" si="8">CDK_AutocorrelationDescriptorPolarizability($A3)</f>
        <v>58.780575625,47.106336,38.8410481875,0,0</v>
      </c>
      <c r="K3" t="str">
        <f t="shared" ref="K3:K6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  <row r="6" spans="1:11">
      <c r="A6" t="str">
        <f>Compounds!B6</f>
        <v>c1ccccc1</v>
      </c>
      <c r="B6" t="str">
        <f t="shared" si="0"/>
        <v>0</v>
      </c>
      <c r="C6" t="str">
        <f t="shared" si="1"/>
        <v>1.83,3.3489,26.058</v>
      </c>
      <c r="D6" t="str">
        <f t="shared" si="2"/>
        <v>14.560758</v>
      </c>
      <c r="E6" t="str">
        <f t="shared" si="3"/>
        <v>6</v>
      </c>
      <c r="F6" t="str">
        <f t="shared" si="4"/>
        <v>6</v>
      </c>
      <c r="G6" t="str">
        <f t="shared" si="5"/>
        <v>12</v>
      </c>
      <c r="H6" t="str">
        <f t="shared" si="6"/>
        <v>0,0,0,0,0</v>
      </c>
      <c r="I6" t="str">
        <f t="shared" si="7"/>
        <v>6,6,6,3,0</v>
      </c>
      <c r="J6" t="str">
        <f t="shared" si="8"/>
        <v>233.87838834375,233.87838834375,233.87838834375,116.939194171875,0</v>
      </c>
      <c r="K6" t="str">
        <f t="shared" si="9"/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6"/>
  <sheetViews>
    <sheetView tabSelected="1" workbookViewId="0">
      <selection activeCell="A2" sqref="A2"/>
    </sheetView>
  </sheetViews>
  <sheetFormatPr defaultRowHeight="13"/>
  <sheetData>
    <row r="1" spans="1:51">
      <c r="A1" t="str">
        <f>Compounds!B1</f>
        <v>Smiles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</row>
    <row r="2" spans="1:51">
      <c r="A2" t="str">
        <f>Compounds!B2</f>
        <v>CC</v>
      </c>
      <c r="B2" t="str">
        <f>CDK_MolecularDescriptorValue(B$1,$A2)</f>
        <v>0,0,0,0,0,0,0,0,0,0,0</v>
      </c>
      <c r="C2" t="str">
        <f t="shared" ref="C2:AY6" si="0">CDK_MolecularDescriptorValue(C$1,$A2)</f>
        <v>0</v>
      </c>
      <c r="D2" t="str">
        <f t="shared" si="0"/>
        <v>2</v>
      </c>
      <c r="E2" t="str">
        <f t="shared" si="0"/>
        <v>1.478</v>
      </c>
      <c r="F2" t="str">
        <f t="shared" si="0"/>
        <v>1,0</v>
      </c>
      <c r="G2" t="str">
        <f t="shared" si="0"/>
        <v>NaN,NaN,NaN,NaN,NaN,NaN,NaN,NaN,NaN,NaN,NaN,NaN,NaN,NaN,NaN,NaN,NaN</v>
      </c>
      <c r="H2" t="str">
        <f t="shared" si="0"/>
        <v>3,1.5,0,0,0</v>
      </c>
      <c r="I2" t="str">
        <f t="shared" si="0"/>
        <v>30.04695024</v>
      </c>
      <c r="J2" t="str">
        <f t="shared" si="0"/>
        <v>1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0,NaN</v>
      </c>
      <c r="P2" t="str">
        <f t="shared" si="0"/>
        <v>0</v>
      </c>
      <c r="Q2" t="str">
        <f t="shared" si="0"/>
        <v>NaN,NaN,NaN,NaN,NaN,NaN,NaN</v>
      </c>
      <c r="R2" t="str">
        <f t="shared" si="0"/>
        <v>1,0,0,0,0,0,0,0,0,0,0,0,0,0,0,0,0,0,0</v>
      </c>
      <c r="S2" t="str">
        <f t="shared" si="0"/>
        <v>1.68</v>
      </c>
      <c r="T2" t="str">
        <f t="shared" si="0"/>
        <v>0</v>
      </c>
      <c r="U2" t="str">
        <f t="shared" si="0"/>
        <v>NaN,NaN</v>
      </c>
      <c r="V2" t="str">
        <f t="shared" si="0"/>
        <v>0</v>
      </c>
      <c r="W2" t="str">
        <f t="shared" si="0"/>
        <v>2</v>
      </c>
      <c r="X2" t="str">
        <f t="shared" si="0"/>
        <v>0,0,0,0,0,0,1,0,0,0,0,0,0,0,0,0,0,0,0,0,0,0,0,0,0,0,0,0,0,0,0,0,0,0,0,0,0,0,0,0,0,0,0,0,0,0,0,0,0,0,0,0,0,0,0,0,0,0,0,0,0,0,0,0,0,0,0,0,0,0,0,0,0,0,0,0,0,0,0</v>
      </c>
      <c r="Y2" t="str">
        <f t="shared" si="0"/>
        <v>2,0,0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47</v>
      </c>
      <c r="AE2" t="str">
        <f t="shared" si="0"/>
        <v>0</v>
      </c>
      <c r="AF2" t="str">
        <f t="shared" si="0"/>
        <v>2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2,1,0,0,0,0,0,0,2,1,0,0,0,0,0,0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0,0,0,0,0,2,0,0,0</v>
      </c>
      <c r="AM2" t="str">
        <f t="shared" si="0"/>
        <v>6.559242</v>
      </c>
      <c r="AN2" t="str">
        <f t="shared" si="0"/>
        <v>1</v>
      </c>
      <c r="AO2" t="str">
        <f t="shared" si="0"/>
        <v>11.89,12.11,-0.177757819850023,0.0422421801499769,3.7595,3.9795</v>
      </c>
      <c r="AP2" t="str">
        <f t="shared" si="0"/>
        <v>0</v>
      </c>
      <c r="AQ2" t="str">
        <f t="shared" si="0"/>
        <v>29.9460605,14.97303025,0,0,0</v>
      </c>
      <c r="AR2" t="str">
        <f t="shared" si="0"/>
        <v>2,1,0,0,0</v>
      </c>
      <c r="AS2" t="str">
        <f t="shared" si="0"/>
        <v>0,0,0,0,0</v>
      </c>
      <c r="AT2" t="str">
        <f t="shared" si="0"/>
        <v>8</v>
      </c>
      <c r="AU2" t="str">
        <f t="shared" si="0"/>
        <v>0</v>
      </c>
      <c r="AV2" t="str">
        <f t="shared" si="0"/>
        <v>0</v>
      </c>
      <c r="AW2" t="str">
        <f t="shared" si="0"/>
        <v>7.520758</v>
      </c>
      <c r="AX2" t="str">
        <f t="shared" si="0"/>
        <v>0.6822,0.46539684,10.5566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6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6.73205080756888,1.68301270189222,4.48803387171259,4.48803387171259,0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0.194598407923705,-0.0910121789036757,-0.00628702505817702,0,0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4.12132034355964,2.41421356237309,1.35355339059327,0.707106781186548,0.353553390593274,0,0,0,3.82246185283696,1.99156383156272,0.781474414421557,0.408248290463863,0.204124145231932,0,0,0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4.12132034355964,2.41421356237309,1.35355339059327,0.707106781186547,0.353553390593274,0,0,0,3.91421356237309,2.12132034355964,0.957106781186547,0.5,0.25,0,0,0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11.89,14.0030760575576,-0.316501120847174,0.0826112404291419,4.87422799052455,6.02352117144864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  <row r="6" spans="1:51">
      <c r="A6" t="str">
        <f>Compounds!B6</f>
        <v>c1ccccc1</v>
      </c>
      <c r="B6" t="str">
        <f t="shared" si="1"/>
        <v>1,1,1,1,0,0,0,1,0,0,0</v>
      </c>
      <c r="C6" t="str">
        <f t="shared" si="0"/>
        <v>0</v>
      </c>
      <c r="D6" t="str">
        <f t="shared" si="0"/>
        <v>24</v>
      </c>
      <c r="E6" t="str">
        <f t="shared" si="0"/>
        <v>2.022</v>
      </c>
      <c r="F6" t="str">
        <f t="shared" si="0"/>
        <v>27,3</v>
      </c>
      <c r="G6" t="str">
        <f t="shared" si="0"/>
        <v>NaN,NaN,NaN,NaN,NaN,NaN,NaN,NaN,NaN,NaN,NaN,NaN,NaN,NaN,NaN,NaN,NaN</v>
      </c>
      <c r="H6" t="str">
        <f t="shared" si="0"/>
        <v>11.8125,1.96875,0,0,0</v>
      </c>
      <c r="I6" t="str">
        <f t="shared" si="0"/>
        <v>78.04695024</v>
      </c>
      <c r="J6" t="str">
        <f t="shared" si="0"/>
        <v>3.58496250072116</v>
      </c>
      <c r="K6" t="str">
        <f t="shared" si="0"/>
        <v>NaN</v>
      </c>
      <c r="L6" t="str">
        <f t="shared" si="0"/>
        <v>0</v>
      </c>
      <c r="M6" t="str">
        <f t="shared" si="0"/>
        <v>0</v>
      </c>
      <c r="N6" t="str">
        <f t="shared" si="0"/>
        <v>0</v>
      </c>
      <c r="O6" t="str">
        <f t="shared" si="0"/>
        <v>0,NaN</v>
      </c>
      <c r="P6" t="str">
        <f t="shared" si="0"/>
        <v>0</v>
      </c>
      <c r="Q6" t="str">
        <f t="shared" si="0"/>
        <v>NaN,NaN,NaN,NaN,NaN,NaN,NaN</v>
      </c>
      <c r="R6" t="str">
        <f t="shared" si="0"/>
        <v>0,0,0,0,9.12546512839809,0,0,0,0,0,0,0,0,0,0,0,0,0,0</v>
      </c>
      <c r="S6" t="str">
        <f t="shared" si="0"/>
        <v>2.12</v>
      </c>
      <c r="T6" t="str">
        <f t="shared" si="0"/>
        <v>0</v>
      </c>
      <c r="U6" t="str">
        <f t="shared" si="0"/>
        <v>NaN,NaN</v>
      </c>
      <c r="V6" t="str">
        <f t="shared" si="0"/>
        <v>6</v>
      </c>
      <c r="W6" t="str">
        <f t="shared" si="0"/>
        <v>4</v>
      </c>
      <c r="X6" t="str">
        <f t="shared" si="0"/>
        <v>0,0,0,0,0,0,0,0,0,0,0,6,0,0,0,0,0,0,0,0,0,0,0,0,0,0,0,0,0,0,0,0,0,0,0,0,0,0,0,0,0,0,0,0,0,0,0,0,0,0,0,0,0,0,0,0,0,0,0,0,0,0,0,0,0,0,0,0,0,0,0,0,0,0,0,0,0,0,0</v>
      </c>
      <c r="Y6" t="str">
        <f t="shared" si="0"/>
        <v>4.16666666666667,2.22222222222222,1.33333333333333</v>
      </c>
      <c r="Z6" t="str">
        <f t="shared" si="0"/>
        <v>0</v>
      </c>
      <c r="AA6" t="str">
        <f t="shared" si="0"/>
        <v>0</v>
      </c>
      <c r="AB6" t="str">
        <f t="shared" si="0"/>
        <v>0</v>
      </c>
      <c r="AC6" t="str">
        <f t="shared" si="0"/>
        <v>NaN,NaN,NaN,NaN,NaN,NaN,NaN,NaN,NaN</v>
      </c>
      <c r="AD6" t="str">
        <f t="shared" si="0"/>
        <v>114</v>
      </c>
      <c r="AE6" t="str">
        <f t="shared" si="0"/>
        <v>1</v>
      </c>
      <c r="AF6" t="str">
        <f t="shared" si="0"/>
        <v>36</v>
      </c>
      <c r="AG6" t="str">
        <f t="shared" si="0"/>
        <v>NaN,NaN,NaN,NaN,NaN,NaN,NaN,NaN,NaN,NaN,NaN,NaN,NaN,NaN,NaN,NaN,NaN,NaN,NaN,NaN,NaN,NaN,NaN,NaN,NaN,NaN,NaN,NaN,NaN</v>
      </c>
      <c r="AH6" t="str">
        <f t="shared" si="0"/>
        <v>4.24264068711929,3,2.12132034355964,1.5,1.06066017177982,0.75,0,0,3.46410161513775,2,1.15470053837925,0.666666666666667,0.384900179459751,0.222222222222222,0,0</v>
      </c>
      <c r="AI6" t="str">
        <f t="shared" si="0"/>
        <v>0,0,0,0,0,0</v>
      </c>
      <c r="AJ6" t="str">
        <f t="shared" si="0"/>
        <v>0,0,0,0,0,0,0,0</v>
      </c>
      <c r="AK6" t="str">
        <f t="shared" si="0"/>
        <v>0,0,0,0.125,0,0,0,0,0.037037037037037,0</v>
      </c>
      <c r="AL6" t="str">
        <f t="shared" si="0"/>
        <v>0,0,0,6,0,0,0,0,0</v>
      </c>
      <c r="AM6" t="str">
        <f t="shared" si="0"/>
        <v>6.559242</v>
      </c>
      <c r="AN6" t="str">
        <f t="shared" si="0"/>
        <v>6</v>
      </c>
      <c r="AO6" t="str">
        <f t="shared" si="0"/>
        <v>11.85,12.1500544016358,-0.211758152069243,0.0882962495665529,6.093375,6.3934294016358</v>
      </c>
      <c r="AP6" t="str">
        <f t="shared" si="0"/>
        <v>0</v>
      </c>
      <c r="AQ6" t="str">
        <f t="shared" si="0"/>
        <v>233.87838834375,233.87838834375,233.87838834375,116.939194171875,0</v>
      </c>
      <c r="AR6" t="str">
        <f t="shared" si="0"/>
        <v>6,6,6,3,0</v>
      </c>
      <c r="AS6" t="str">
        <f t="shared" si="0"/>
        <v>0,0,0,0,0</v>
      </c>
      <c r="AT6" t="str">
        <f t="shared" si="0"/>
        <v>12</v>
      </c>
      <c r="AU6" t="str">
        <f t="shared" si="0"/>
        <v>6</v>
      </c>
      <c r="AV6" t="str">
        <f t="shared" si="0"/>
        <v>6</v>
      </c>
      <c r="AW6" t="str">
        <f t="shared" si="0"/>
        <v>14.560758</v>
      </c>
      <c r="AX6" t="str">
        <f t="shared" si="0"/>
        <v>1.83,3.3489,26.058</v>
      </c>
      <c r="AY6" t="str">
        <f t="shared" si="0"/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Compounds</vt:lpstr>
      <vt:lpstr>By_Function</vt:lpstr>
      <vt:lpstr>By_Name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2017-08-30T14:01:00Z</dcterms:modified>
</cp:coreProperties>
</file>