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firstSheet="1" activeTab="4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</sheets>
  <functionGroups/>
  <calcPr calcId="125725"/>
</workbook>
</file>

<file path=xl/calcChain.xml><?xml version="1.0" encoding="utf-8"?>
<calcChain xmlns="http://schemas.openxmlformats.org/spreadsheetml/2006/main">
  <c r="C6" i="4"/>
  <c r="C5"/>
  <c r="C4"/>
  <c r="C3"/>
  <c r="C2"/>
  <c r="M6" i="5"/>
  <c r="L6"/>
  <c r="K6"/>
  <c r="J6"/>
  <c r="I6"/>
  <c r="H6"/>
  <c r="G6"/>
  <c r="F6"/>
  <c r="E6"/>
  <c r="D6"/>
  <c r="C6"/>
  <c r="M5"/>
  <c r="L5"/>
  <c r="K5"/>
  <c r="J5"/>
  <c r="I5"/>
  <c r="H5"/>
  <c r="G5"/>
  <c r="F5"/>
  <c r="E5"/>
  <c r="D5"/>
  <c r="C5"/>
  <c r="M4"/>
  <c r="L4"/>
  <c r="K4"/>
  <c r="J4"/>
  <c r="I4"/>
  <c r="H4"/>
  <c r="G4"/>
  <c r="F4"/>
  <c r="E4"/>
  <c r="D4"/>
  <c r="C4"/>
  <c r="M3"/>
  <c r="L3"/>
  <c r="K3"/>
  <c r="J3"/>
  <c r="I3"/>
  <c r="H3"/>
  <c r="G3"/>
  <c r="F3"/>
  <c r="E3"/>
  <c r="D3"/>
  <c r="C3"/>
  <c r="M2"/>
  <c r="L2"/>
  <c r="K2"/>
  <c r="J2"/>
  <c r="I2"/>
  <c r="H2"/>
  <c r="G2"/>
  <c r="F2"/>
  <c r="E2"/>
  <c r="D2"/>
  <c r="C2"/>
  <c r="B6" i="4"/>
  <c r="B5"/>
  <c r="B4"/>
  <c r="B3"/>
  <c r="B2"/>
  <c r="A6" i="5"/>
  <c r="A5"/>
  <c r="A4"/>
  <c r="A3"/>
  <c r="A2"/>
  <c r="A1"/>
  <c r="A6" i="4"/>
  <c r="A5"/>
  <c r="A4"/>
  <c r="A3"/>
  <c r="A2"/>
  <c r="A1"/>
  <c r="A6" i="1"/>
  <c r="A6" i="2"/>
  <c r="A4"/>
  <c r="A5"/>
  <c r="A5" i="1"/>
  <c r="A4"/>
  <c r="A3"/>
  <c r="A2"/>
  <c r="A1"/>
  <c r="A3" i="2"/>
  <c r="A2"/>
  <c r="A1"/>
  <c r="B3" i="5"/>
  <c r="B2"/>
  <c r="B4"/>
  <c r="B5"/>
  <c r="B6"/>
  <c r="C5" i="2"/>
  <c r="G5"/>
  <c r="K5"/>
  <c r="O5"/>
  <c r="S5"/>
  <c r="W5"/>
  <c r="AA5"/>
  <c r="AE5"/>
  <c r="AI5"/>
  <c r="AM5"/>
  <c r="AQ5"/>
  <c r="AU5"/>
  <c r="AY5"/>
  <c r="E5" i="1"/>
  <c r="I5"/>
  <c r="AX3" i="2"/>
  <c r="AT3"/>
  <c r="AP3"/>
  <c r="AL3"/>
  <c r="AH3"/>
  <c r="AD3"/>
  <c r="Z3"/>
  <c r="V3"/>
  <c r="R3"/>
  <c r="N3"/>
  <c r="J3"/>
  <c r="F3"/>
  <c r="B3"/>
  <c r="H4" i="1"/>
  <c r="D4"/>
  <c r="J3"/>
  <c r="F3"/>
  <c r="B3"/>
  <c r="F6"/>
  <c r="C6"/>
  <c r="X6" i="2"/>
  <c r="AO6"/>
  <c r="Y6"/>
  <c r="I6"/>
  <c r="V6"/>
  <c r="AP6"/>
  <c r="R6"/>
  <c r="AU6"/>
  <c r="AE6"/>
  <c r="O6"/>
  <c r="AR6"/>
  <c r="AB6"/>
  <c r="D6"/>
  <c r="AK4"/>
  <c r="U4"/>
  <c r="E4"/>
  <c r="X4"/>
  <c r="AP4"/>
  <c r="Z4"/>
  <c r="J4"/>
  <c r="D4"/>
  <c r="AM4"/>
  <c r="W4"/>
  <c r="G4"/>
  <c r="AB4"/>
  <c r="AT2"/>
  <c r="AD2"/>
  <c r="J2"/>
  <c r="AY2"/>
  <c r="S2"/>
  <c r="C2"/>
  <c r="AB2"/>
  <c r="F2" i="1"/>
  <c r="I2" i="2"/>
  <c r="B5"/>
  <c r="F5"/>
  <c r="J5"/>
  <c r="N5"/>
  <c r="R5"/>
  <c r="V5"/>
  <c r="Z5"/>
  <c r="AD5"/>
  <c r="AH5"/>
  <c r="AL5"/>
  <c r="AP5"/>
  <c r="AT5"/>
  <c r="AX5"/>
  <c r="D5" i="1"/>
  <c r="H5"/>
  <c r="AY3" i="2"/>
  <c r="AU3"/>
  <c r="AQ3"/>
  <c r="AM3"/>
  <c r="AI3"/>
  <c r="AE3"/>
  <c r="AA3"/>
  <c r="W3"/>
  <c r="S3"/>
  <c r="O3"/>
  <c r="K3"/>
  <c r="G3"/>
  <c r="C3"/>
  <c r="I4" i="1"/>
  <c r="E4"/>
  <c r="K3"/>
  <c r="G3"/>
  <c r="C3"/>
  <c r="E6"/>
  <c r="G6"/>
  <c r="AV6" i="2"/>
  <c r="AS6"/>
  <c r="AC6"/>
  <c r="M6"/>
  <c r="AD6"/>
  <c r="AX6"/>
  <c r="Z6"/>
  <c r="AY6"/>
  <c r="AI6"/>
  <c r="S6"/>
  <c r="C6"/>
  <c r="AF6"/>
  <c r="H6"/>
  <c r="AO4"/>
  <c r="Y4"/>
  <c r="I4"/>
  <c r="AF4"/>
  <c r="AT4"/>
  <c r="AD4"/>
  <c r="N4"/>
  <c r="P4"/>
  <c r="AQ4"/>
  <c r="AA4"/>
  <c r="K4"/>
  <c r="AN4"/>
  <c r="AX2"/>
  <c r="AH2"/>
  <c r="R2"/>
  <c r="D2" i="1"/>
  <c r="AM2" i="2"/>
  <c r="W2"/>
  <c r="G2"/>
  <c r="AV2"/>
  <c r="AF2"/>
  <c r="P2"/>
  <c r="J2" i="1"/>
  <c r="AS2" i="2"/>
  <c r="AC2"/>
  <c r="M2"/>
  <c r="G2" i="1"/>
  <c r="AQ2" i="2"/>
  <c r="E2" i="1"/>
  <c r="T2" i="2"/>
  <c r="AW2"/>
  <c r="Q2"/>
  <c r="H2" i="1"/>
  <c r="E5" i="2"/>
  <c r="I5"/>
  <c r="M5"/>
  <c r="Q5"/>
  <c r="U5"/>
  <c r="Y5"/>
  <c r="AC5"/>
  <c r="AG5"/>
  <c r="AK5"/>
  <c r="AO5"/>
  <c r="AS5"/>
  <c r="AW5"/>
  <c r="C5" i="1"/>
  <c r="G5"/>
  <c r="K5"/>
  <c r="AV3" i="2"/>
  <c r="AR3"/>
  <c r="AN3"/>
  <c r="AJ3"/>
  <c r="AF3"/>
  <c r="AB3"/>
  <c r="X3"/>
  <c r="T3"/>
  <c r="P3"/>
  <c r="L3"/>
  <c r="H3"/>
  <c r="D3"/>
  <c r="J4" i="1"/>
  <c r="F4"/>
  <c r="B4"/>
  <c r="H3"/>
  <c r="D3"/>
  <c r="I6"/>
  <c r="K6"/>
  <c r="B6"/>
  <c r="AW6" i="2"/>
  <c r="AG6"/>
  <c r="Q6"/>
  <c r="AT6"/>
  <c r="F6"/>
  <c r="AH6"/>
  <c r="B6"/>
  <c r="AM6"/>
  <c r="W6"/>
  <c r="G6"/>
  <c r="AJ6"/>
  <c r="P6"/>
  <c r="AS4"/>
  <c r="AC4"/>
  <c r="M4"/>
  <c r="AR4"/>
  <c r="AX4"/>
  <c r="AH4"/>
  <c r="R4"/>
  <c r="AJ4"/>
  <c r="AU4"/>
  <c r="AE4"/>
  <c r="O4"/>
  <c r="AV4"/>
  <c r="H4"/>
  <c r="AL2"/>
  <c r="V2"/>
  <c r="B2"/>
  <c r="AA2"/>
  <c r="K2"/>
  <c r="AJ2"/>
  <c r="D2"/>
  <c r="AG2"/>
  <c r="K2" i="1"/>
  <c r="D5" i="2"/>
  <c r="H5"/>
  <c r="L5"/>
  <c r="P5"/>
  <c r="T5"/>
  <c r="X5"/>
  <c r="AB5"/>
  <c r="AF5"/>
  <c r="AJ5"/>
  <c r="AN5"/>
  <c r="AR5"/>
  <c r="AV5"/>
  <c r="B5" i="1"/>
  <c r="F5"/>
  <c r="J5"/>
  <c r="AW3" i="2"/>
  <c r="AS3"/>
  <c r="AO3"/>
  <c r="AK3"/>
  <c r="AG3"/>
  <c r="AC3"/>
  <c r="Y3"/>
  <c r="U3"/>
  <c r="Q3"/>
  <c r="M3"/>
  <c r="I3"/>
  <c r="E3"/>
  <c r="K4" i="1"/>
  <c r="G4"/>
  <c r="C4"/>
  <c r="I3"/>
  <c r="E3"/>
  <c r="D6"/>
  <c r="J6"/>
  <c r="H6"/>
  <c r="L6" i="2"/>
  <c r="AK6"/>
  <c r="U6"/>
  <c r="E6"/>
  <c r="N6"/>
  <c r="AL6"/>
  <c r="J6"/>
  <c r="AQ6"/>
  <c r="AA6"/>
  <c r="K6"/>
  <c r="AN6"/>
  <c r="T6"/>
  <c r="AW4"/>
  <c r="AG4"/>
  <c r="Q4"/>
  <c r="B4"/>
  <c r="L4"/>
  <c r="AL4"/>
  <c r="V4"/>
  <c r="F4"/>
  <c r="AY4"/>
  <c r="AI4"/>
  <c r="S4"/>
  <c r="C4"/>
  <c r="T4"/>
  <c r="AP2"/>
  <c r="Z2"/>
  <c r="F2"/>
  <c r="AU2"/>
  <c r="AE2"/>
  <c r="O2"/>
  <c r="I2" i="1"/>
  <c r="AN2" i="2"/>
  <c r="X2"/>
  <c r="H2"/>
  <c r="B2" i="1"/>
  <c r="AK2" i="2"/>
  <c r="U2"/>
  <c r="E2"/>
  <c r="N2"/>
  <c r="AI2"/>
  <c r="AR2"/>
  <c r="L2"/>
  <c r="AO2"/>
  <c r="Y2"/>
  <c r="C2" i="1"/>
</calcChain>
</file>

<file path=xl/sharedStrings.xml><?xml version="1.0" encoding="utf-8"?>
<sst xmlns="http://schemas.openxmlformats.org/spreadsheetml/2006/main" count="86" uniqueCount="85">
  <si>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</si>
  <si>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</si>
  <si>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</si>
  <si>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</si>
  <si>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</si>
  <si>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</si>
  <si>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</si>
  <si>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</si>
  <si>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</si>
  <si>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</si>
  <si>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</si>
  <si>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</si>
  <si>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</si>
  <si>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</si>
  <si>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</si>
  <si>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</si>
  <si>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</si>
  <si>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</si>
  <si>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</si>
  <si>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</si>
  <si>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</si>
  <si>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</si>
  <si>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</si>
  <si>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</si>
  <si>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</si>
  <si>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</si>
  <si>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</si>
  <si>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</si>
  <si>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</si>
  <si>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</si>
  <si>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</si>
  <si>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</si>
  <si>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</si>
  <si>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</si>
  <si>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</si>
  <si>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</si>
  <si>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</si>
  <si>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</si>
  <si>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</si>
  <si>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</si>
  <si>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</si>
  <si>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</si>
  <si>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</si>
  <si>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</si>
  <si>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</si>
  <si>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</si>
  <si>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</si>
  <si>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</si>
  <si>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</si>
  <si>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</si>
  <si>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</si>
  <si>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</si>
  <si>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</si>
  <si>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</si>
  <si>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</si>
  <si>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</si>
  <si>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</si>
  <si>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</si>
  <si>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</si>
  <si>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</si>
  <si>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</si>
  <si>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</si>
  <si>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</si>
  <si>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</si>
  <si>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</si>
  <si>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</si>
  <si>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</si>
  <si>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</si>
  <si>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</si>
  <si>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</si>
  <si>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</si>
  <si>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CC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</si>
  <si>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</si>
  <si>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</si>
  <si>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</si>
  <si>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</si>
  <si>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</si>
  <si>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</si>
  <si>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</si>
  <si>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</si>
  <si>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MACCSFingerprinter</t>
  </si>
  <si>
    <t>PubchemFingerprinter</t>
  </si>
  <si>
    <t>ShortestPathFingerprinter</t>
  </si>
  <si>
    <t>SignatureFingerprinter</t>
  </si>
  <si>
    <t>SignatureFingerprinter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</si>
</sst>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3" sqref="B3"/>
    </sheetView>
  </sheetViews>
  <sheetFormatPr defaultRowHeight="13"/>
  <sheetData>
    <row r="1" spans="1:2">
      <c r="A1" t="s">
        <v>63</v>
      </c>
      <c r="B1" t="s">
        <v>61</v>
      </c>
    </row>
    <row r="2" spans="1:2">
      <c r="A2" t="s">
        <v>64</v>
      </c>
      <c r="B2" t="s">
        <v>71</v>
      </c>
    </row>
    <row r="3" spans="1:2">
      <c r="A3" t="s">
        <v>65</v>
      </c>
      <c r="B3" t="s">
        <v>0</v>
      </c>
    </row>
    <row r="4" spans="1:2">
      <c r="A4" t="s">
        <v>66</v>
      </c>
      <c r="B4" t="s">
        <v>62</v>
      </c>
    </row>
    <row r="5" spans="1:2">
      <c r="A5" t="s">
        <v>67</v>
      </c>
      <c r="B5" t="s">
        <v>68</v>
      </c>
    </row>
    <row r="6" spans="1:2">
      <c r="A6" t="s">
        <v>70</v>
      </c>
      <c r="B6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C1" sqref="C1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4.24264068711928,3,2.12132034355964,1.5,1.06066017177982,0.75,0,0,3.46410161513775,2,1.15470053837925,0.666666666666667,0.384900179459751,0.222222222222222,0,0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"/>
  <sheetViews>
    <sheetView workbookViewId="0">
      <selection activeCell="C6" sqref="C6"/>
    </sheetView>
  </sheetViews>
  <sheetFormatPr defaultRowHeight="13"/>
  <sheetData>
    <row r="1" spans="1:3">
      <c r="A1" t="str">
        <f>Compounds!B1</f>
        <v>Smiles</v>
      </c>
      <c r="B1" t="s">
        <v>72</v>
      </c>
      <c r="C1" t="s">
        <v>83</v>
      </c>
    </row>
    <row r="2" spans="1:3">
      <c r="A2" t="str">
        <f>Compounds!B2</f>
        <v>CC</v>
      </c>
      <c r="B2" t="str">
        <f>CDK_CircularFingerprinter($A2)</f>
        <v>{253, 947}</v>
      </c>
      <c r="C2" t="e">
        <f>CDK_SignatureFingerprinter($A2)</f>
        <v>#VALUE!</v>
      </c>
    </row>
    <row r="3" spans="1:3">
      <c r="A3" t="str">
        <f>Compounds!B3</f>
        <v>CC(=O)O</v>
      </c>
      <c r="B3" t="str">
        <f t="shared" ref="B3:C6" si="0">CDK_CircularFingerprinter($A3)</f>
        <v>{19, 65, 93, 507, 625, 726, 761, 947}</v>
      </c>
      <c r="C3" t="e">
        <f t="shared" ref="C3:C6" si="1">CDK_SignatureFingerprinter($A3)</f>
        <v>#VALUE!</v>
      </c>
    </row>
    <row r="4" spans="1:3">
      <c r="A4" t="str">
        <f>Compounds!B4</f>
        <v>CCOCC</v>
      </c>
      <c r="B4" t="str">
        <f t="shared" si="0"/>
        <v>{152, 346, 504, 573, 689, 775, 947, 993}</v>
      </c>
      <c r="C4" t="e">
        <f t="shared" si="1"/>
        <v>#VALUE!</v>
      </c>
    </row>
    <row r="5" spans="1:3">
      <c r="A5" t="str">
        <f>Compounds!B5</f>
        <v>CCNCC</v>
      </c>
      <c r="B5" t="str">
        <f t="shared" si="0"/>
        <v>{21, 57, 152, 515, 561, 686, 947, 993}</v>
      </c>
      <c r="C5" t="e">
        <f t="shared" si="1"/>
        <v>#VALUE!</v>
      </c>
    </row>
    <row r="6" spans="1:3">
      <c r="A6" t="str">
        <f>Compounds!B6</f>
        <v>c1ccccc1</v>
      </c>
      <c r="B6" t="str">
        <f t="shared" si="0"/>
        <v>{420, 486, 538, 967}</v>
      </c>
      <c r="C6" t="e">
        <f t="shared" si="1"/>
        <v>#VALUE!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M6"/>
  <sheetViews>
    <sheetView tabSelected="1" workbookViewId="0">
      <selection activeCell="E4" sqref="E4"/>
    </sheetView>
  </sheetViews>
  <sheetFormatPr defaultRowHeight="13"/>
  <sheetData>
    <row r="1" spans="1:13">
      <c r="A1" t="str">
        <f>Compounds!B1</f>
        <v>Smiles</v>
      </c>
      <c r="B1" t="s">
        <v>72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84</v>
      </c>
      <c r="M1" t="s">
        <v>73</v>
      </c>
    </row>
    <row r="2" spans="1:13">
      <c r="A2" t="str">
        <f>Compounds!B2</f>
        <v>CC</v>
      </c>
      <c r="B2" t="str">
        <f>CDK_BitFingerprinterValue(B$1,$A2)</f>
        <v>{253, 947}</v>
      </c>
      <c r="C2" t="str">
        <f t="shared" ref="C2:M2" si="0">CDK_BitFingerprinterValue(C$1,$A2)</f>
        <v>{6}</v>
      </c>
      <c r="D2" t="str">
        <f t="shared" si="0"/>
        <v>{949, 995}</v>
      </c>
      <c r="E2" t="str">
        <f t="shared" si="0"/>
        <v>{742, 927}</v>
      </c>
      <c r="F2" t="str">
        <f t="shared" si="0"/>
        <v>{637, 742}</v>
      </c>
      <c r="G2" t="str">
        <f t="shared" si="0"/>
        <v>{668, 2974, 3223}</v>
      </c>
      <c r="H2" t="str">
        <f t="shared" si="0"/>
        <v>{}</v>
      </c>
      <c r="I2" t="str">
        <f t="shared" si="0"/>
        <v>{148, 159}</v>
      </c>
      <c r="J2" t="str">
        <f t="shared" si="0"/>
        <v>{9, 283, 284, 344, 374}</v>
      </c>
      <c r="K2" t="str">
        <f t="shared" si="0"/>
        <v>{115, 503, 653}</v>
      </c>
      <c r="L2" t="e">
        <f t="shared" si="0"/>
        <v>#VALUE!</v>
      </c>
      <c r="M2" t="str">
        <f t="shared" si="0"/>
        <v>{0}</v>
      </c>
    </row>
    <row r="3" spans="1:13">
      <c r="A3" t="str">
        <f>Compounds!B3</f>
        <v>CC(=O)O</v>
      </c>
      <c r="B3" t="str">
        <f t="shared" ref="B3:M6" si="1">CDK_BitFingerprinterValue(B$1,$A3)</f>
        <v>{19, 65, 93, 507, 625, 726, 761, 947}</v>
      </c>
      <c r="C3" t="str">
        <f t="shared" si="1"/>
        <v>{6, 15, 33, 34}</v>
      </c>
      <c r="D3" t="str">
        <f t="shared" si="1"/>
        <v>{118, 146, 481, 605, 612, 949, 952, 995}</v>
      </c>
      <c r="E3" t="str">
        <f t="shared" si="1"/>
        <v>{242, 244, 741, 742, 927, 966}</v>
      </c>
      <c r="F3" t="str">
        <f t="shared" si="1"/>
        <v>{300, 402, 404, 637, 741, 742, 929, 965}</v>
      </c>
      <c r="G3" t="str">
        <f t="shared" si="1"/>
        <v>{668, 1147, 1192, 1262, 1405, 2948, 2974, 3024, 3223, 3327, 3454, 3787, 3955, 4330, 4694}</v>
      </c>
      <c r="H3" t="str">
        <f t="shared" si="1"/>
        <v>{5, 149, 220, 620}</v>
      </c>
      <c r="I3" t="str">
        <f t="shared" si="1"/>
        <v>{122, 138, 153, 156, 158, 159, 163}</v>
      </c>
      <c r="J3" t="str">
        <f t="shared" si="1"/>
        <v>{9, 18, 19, 283, 284, 286, 308, 344, 352, 374, 380, 406, 420, 440, 443, 452}</v>
      </c>
      <c r="K3" t="e">
        <f t="shared" si="1"/>
        <v>#VALUE!</v>
      </c>
      <c r="L3" t="e">
        <f t="shared" si="1"/>
        <v>#VALUE!</v>
      </c>
      <c r="M3" t="str">
        <f t="shared" si="1"/>
        <v>{0, 83, 87, 294, 299}</v>
      </c>
    </row>
    <row r="4" spans="1:13">
      <c r="A4" t="str">
        <f>Compounds!B4</f>
        <v>CCOCC</v>
      </c>
      <c r="B4" t="str">
        <f t="shared" si="1"/>
        <v>{152, 346, 504, 573, 689, 775, 947, 993}</v>
      </c>
      <c r="C4" t="str">
        <f t="shared" si="1"/>
        <v>{6, 8, 35}</v>
      </c>
      <c r="D4" t="str">
        <f t="shared" si="1"/>
        <v>{118, 146, 481, 745, 781, 907, 949, 995}</v>
      </c>
      <c r="E4" t="str">
        <f t="shared" si="1"/>
        <v>{95, 242, 484, 541, 741, 742, 927, 966}</v>
      </c>
      <c r="F4" t="str">
        <f t="shared" si="1"/>
        <v>{300, 625, 637, 727, 741, 742, 831, 929}</v>
      </c>
      <c r="G4" t="str">
        <f t="shared" si="1"/>
        <v>{296, 465, 646, 647, 650, 668, 2546, 2594, 2974, 3223, 3787, 3788, 3955, 3956, 4330}</v>
      </c>
      <c r="H4" t="str">
        <f t="shared" si="1"/>
        <v>{131, 216, 220, 234}</v>
      </c>
      <c r="I4" t="str">
        <f t="shared" si="1"/>
        <v>{85, 108, 113, 115, 125, 137, 148, 152, 154, 156, 159, 163}</v>
      </c>
      <c r="J4" t="str">
        <f t="shared" si="1"/>
        <v>{9, 10, 18, 283, 284, 286, 344, 346, 352, 366, 374, 405, 614}</v>
      </c>
      <c r="K4" t="str">
        <f t="shared" si="1"/>
        <v>{115, 243, 248, 298, 503, 653, 766, 840, 889, 930, 944, 1006}</v>
      </c>
      <c r="L4" t="e">
        <f t="shared" si="1"/>
        <v>#VALUE!</v>
      </c>
      <c r="M4" t="str">
        <f t="shared" si="1"/>
        <v>{0, 15, 294, 301}</v>
      </c>
    </row>
    <row r="5" spans="1:13">
      <c r="A5" t="str">
        <f>Compounds!B5</f>
        <v>CCNCC</v>
      </c>
      <c r="B5" t="str">
        <f t="shared" si="1"/>
        <v>{21, 57, 152, 515, 561, 686, 947, 993}</v>
      </c>
      <c r="C5" t="str">
        <f t="shared" si="1"/>
        <v>{6, 8, 23}</v>
      </c>
      <c r="D5" t="str">
        <f t="shared" si="1"/>
        <v>{183, 219, 227, 259, 477, 712, 949, 995}</v>
      </c>
      <c r="E5" t="str">
        <f t="shared" si="1"/>
        <v>{113, 543, 572, 741, 742, 927, 969, 1002}</v>
      </c>
      <c r="F5" t="str">
        <f t="shared" si="1"/>
        <v>{17, 391, 543, 637, 741, 742, 953, 1004}</v>
      </c>
      <c r="G5" t="str">
        <f t="shared" si="1"/>
        <v>{296, 465, 466, 475, 668, 676, 787, 2974, 3223, 3749, 3772, 3781, 3881, 3925, 4079}</v>
      </c>
      <c r="H5" t="str">
        <f t="shared" si="1"/>
        <v>{131, 216, 221, 234}</v>
      </c>
      <c r="I5" t="str">
        <f t="shared" si="1"/>
        <v>{81, 85, 99, 113, 115, 137, 148, 150, 152, 154, 157, 159, 160}</v>
      </c>
      <c r="J5" t="str">
        <f t="shared" si="1"/>
        <v>{9, 10, 14, 283, 284, 285, 299, 344, 345, 351, 365, 374, 390, 392, 393, 528, 540, 643, 656}</v>
      </c>
      <c r="K5" t="str">
        <f t="shared" si="1"/>
        <v>{16, 82, 115, 120, 224, 503, 567, 653, 657, 693, 833, 1008}</v>
      </c>
      <c r="L5" t="e">
        <f t="shared" si="1"/>
        <v>#VALUE!</v>
      </c>
      <c r="M5" t="str">
        <f t="shared" si="1"/>
        <v>{0, 22, 24, 294, 301, 306}</v>
      </c>
    </row>
    <row r="6" spans="1:13">
      <c r="A6" t="str">
        <f>Compounds!B6</f>
        <v>c1ccccc1</v>
      </c>
      <c r="B6" t="str">
        <f t="shared" si="1"/>
        <v>{420, 486, 538, 967}</v>
      </c>
      <c r="C6" t="str">
        <f t="shared" si="1"/>
        <v>{11}</v>
      </c>
      <c r="D6" t="str">
        <f t="shared" si="1"/>
        <v>{53, 78, 187, 541, 926, 949, 1009, 1013}</v>
      </c>
      <c r="E6" t="str">
        <f t="shared" si="1"/>
        <v>{185, 293, 338, 595, 742, 927}</v>
      </c>
      <c r="F6" t="str">
        <f t="shared" si="1"/>
        <v>{95, 161, 213, 253, 574, 742}</v>
      </c>
      <c r="G6" t="str">
        <f t="shared" si="1"/>
        <v>{}</v>
      </c>
      <c r="H6" t="str">
        <f t="shared" si="1"/>
        <v>{24, 1003}</v>
      </c>
      <c r="I6" t="str">
        <f t="shared" si="1"/>
        <v>{161, 162, 164}</v>
      </c>
      <c r="J6" t="str">
        <f t="shared" si="1"/>
        <v>{9, 10, 178, 179, 255, 283, 284, 332, 344, 355, 370, 371, 384, 416, 434, 441, 446, 470, 490, 516, 520, 524, 552, 556, 564, 570, 578, 582, 584, 595, 599, 603, 608, 618, 634, 640, 660, 664, 668, 677, 678, 679}</v>
      </c>
      <c r="K6" t="e">
        <f t="shared" si="1"/>
        <v>#VALUE!</v>
      </c>
      <c r="L6" t="e">
        <f t="shared" si="1"/>
        <v>#VALUE!</v>
      </c>
      <c r="M6" t="str">
        <f t="shared" si="1"/>
        <v>{273, 306}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Compounds</vt:lpstr>
      <vt:lpstr>Descriptor_by_Function</vt:lpstr>
      <vt:lpstr>Descriptor_by_Name</vt:lpstr>
      <vt:lpstr>Fingerprinter_by_Function</vt:lpstr>
      <vt:lpstr>Fingerprinter_by_Name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2017-08-30T23:18:47Z</dcterms:modified>
</cp:coreProperties>
</file>