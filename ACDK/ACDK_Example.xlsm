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 tabRatio="785" firstSheet="1" activeTab="3"/>
  </bookViews>
  <sheets>
    <sheet name="Compounds" sheetId="3" r:id="rId1"/>
    <sheet name="Descriptor_by_Function" sheetId="1" r:id="rId2"/>
    <sheet name="Descriptor_by_Name" sheetId="2" r:id="rId3"/>
    <sheet name="Fingerprinter_by_Function" sheetId="4" r:id="rId4"/>
    <sheet name="Fingerprinter_by_Name" sheetId="5" r:id="rId5"/>
  </sheets>
  <functionGroups/>
  <calcPr calcId="125725"/>
</workbook>
</file>

<file path=xl/calcChain.xml><?xml version="1.0" encoding="utf-8"?>
<calcChain xmlns="http://schemas.openxmlformats.org/spreadsheetml/2006/main">
  <c r="A5" i="4"/>
  <c r="A6" i="5"/>
  <c r="A5"/>
  <c r="A4"/>
  <c r="A3"/>
  <c r="A2"/>
  <c r="A1"/>
  <c r="A6" i="4"/>
  <c r="A4"/>
  <c r="A3"/>
  <c r="A2"/>
  <c r="A1"/>
  <c r="A6" i="1"/>
  <c r="A6" i="2"/>
  <c r="A4"/>
  <c r="A5"/>
  <c r="A5" i="1"/>
  <c r="A4"/>
  <c r="A3"/>
  <c r="A2"/>
  <c r="A1"/>
  <c r="A3" i="2"/>
  <c r="A2"/>
  <c r="A1"/>
  <c r="F4" i="5"/>
  <c r="D4" i="1"/>
  <c r="O3" i="2"/>
  <c r="AG5"/>
  <c r="L5"/>
  <c r="I2" i="1"/>
  <c r="J4" i="2"/>
  <c r="C5"/>
  <c r="S2"/>
  <c r="AN4"/>
  <c r="AM6"/>
  <c r="U6"/>
  <c r="J2"/>
  <c r="AW3"/>
  <c r="I2" i="5"/>
  <c r="AP5" i="2"/>
  <c r="AC3"/>
  <c r="AH6"/>
  <c r="AW4"/>
  <c r="E3" i="5"/>
  <c r="R6" i="2"/>
  <c r="AS6"/>
  <c r="AF3"/>
  <c r="J5" i="1"/>
  <c r="AO2" i="2"/>
  <c r="E6" i="5"/>
  <c r="AY5" i="2"/>
  <c r="AD5"/>
  <c r="AS2"/>
  <c r="AJ4"/>
  <c r="Q4"/>
  <c r="AA3"/>
  <c r="L4"/>
  <c r="B3" i="5"/>
  <c r="AB4" i="2"/>
  <c r="N4"/>
  <c r="Q6"/>
  <c r="D6" i="1"/>
  <c r="AE4" i="2"/>
  <c r="C5" i="5"/>
  <c r="Z3" i="2"/>
  <c r="AU3"/>
  <c r="H2" i="1"/>
  <c r="AA2" i="2"/>
  <c r="C4"/>
  <c r="C6" i="1"/>
  <c r="B4" i="4"/>
  <c r="AM4" i="2"/>
  <c r="AF4"/>
  <c r="B6" i="1"/>
  <c r="C4"/>
  <c r="J3"/>
  <c r="AL2" i="2"/>
  <c r="G3" i="5"/>
  <c r="V6" i="2"/>
  <c r="G6" i="1"/>
  <c r="AN3" i="2"/>
  <c r="B5" i="1"/>
  <c r="AR2" i="2"/>
  <c r="AQ3"/>
  <c r="Q3"/>
  <c r="N6"/>
  <c r="O4"/>
  <c r="AH2"/>
  <c r="AD4"/>
  <c r="G5" i="5"/>
  <c r="F6" i="1"/>
  <c r="I4"/>
  <c r="AW5" i="2"/>
  <c r="AB5"/>
  <c r="B2" i="1"/>
  <c r="L6" i="5"/>
  <c r="S5" i="2"/>
  <c r="I2"/>
  <c r="D2" i="1"/>
  <c r="P6" i="2"/>
  <c r="J6"/>
  <c r="F5"/>
  <c r="K4" i="1"/>
  <c r="E2" i="5"/>
  <c r="X4" i="2"/>
  <c r="AF6"/>
  <c r="B4" i="1"/>
  <c r="M3" i="2"/>
  <c r="E4" i="5"/>
  <c r="AN2" i="2"/>
  <c r="T5"/>
  <c r="K3"/>
  <c r="K5" i="5"/>
  <c r="E5" i="1"/>
  <c r="AH5" i="2"/>
  <c r="AC2"/>
  <c r="AU4"/>
  <c r="B4"/>
  <c r="I5" i="1"/>
  <c r="H2" i="5"/>
  <c r="AK4" i="2"/>
  <c r="AI6"/>
  <c r="D3"/>
  <c r="Y3"/>
  <c r="G6" i="5"/>
  <c r="AG6" i="2"/>
  <c r="D4" i="5"/>
  <c r="AY2" i="2"/>
  <c r="B6"/>
  <c r="K2" i="1"/>
  <c r="V5" i="2"/>
  <c r="J4" i="5"/>
  <c r="J3" i="2"/>
  <c r="AE3"/>
  <c r="Q5"/>
  <c r="AG2"/>
  <c r="F2"/>
  <c r="AU6"/>
  <c r="B2" i="5"/>
  <c r="AT2" i="2"/>
  <c r="P4"/>
  <c r="AT6"/>
  <c r="J6" i="1"/>
  <c r="AB6" i="2"/>
  <c r="P5"/>
  <c r="C3" i="5"/>
  <c r="AE6" i="2"/>
  <c r="M6"/>
  <c r="X3"/>
  <c r="AS3"/>
  <c r="G4"/>
  <c r="H6" i="5"/>
  <c r="W5" i="2"/>
  <c r="B5"/>
  <c r="AM2"/>
  <c r="AS4"/>
  <c r="AQ6"/>
  <c r="B2" i="4"/>
  <c r="F3" i="5"/>
  <c r="AP6" i="2"/>
  <c r="AV6"/>
  <c r="AJ3"/>
  <c r="F5" i="1"/>
  <c r="L2" i="2"/>
  <c r="AR3"/>
  <c r="E5" i="5"/>
  <c r="R3" i="2"/>
  <c r="AM3"/>
  <c r="I5"/>
  <c r="AJ2"/>
  <c r="AP2"/>
  <c r="E4"/>
  <c r="G6"/>
  <c r="K2"/>
  <c r="AO5"/>
  <c r="F3"/>
  <c r="J5" i="5"/>
  <c r="C2" i="4"/>
  <c r="AP3" i="2"/>
  <c r="AX5"/>
  <c r="E2" i="1"/>
  <c r="H4" i="2"/>
  <c r="F4"/>
  <c r="V3"/>
  <c r="D2" i="5"/>
  <c r="AP4" i="2"/>
  <c r="H6"/>
  <c r="H3" i="1"/>
  <c r="I3" i="2"/>
  <c r="AQ5"/>
  <c r="AC4"/>
  <c r="K3" i="5"/>
  <c r="X6" i="2"/>
  <c r="K3" i="1"/>
  <c r="G5"/>
  <c r="AJ5" i="2"/>
  <c r="U2"/>
  <c r="AL5"/>
  <c r="AV5"/>
  <c r="E3" i="1"/>
  <c r="H3" i="2"/>
  <c r="AB2"/>
  <c r="AE2"/>
  <c r="I6"/>
  <c r="AH4"/>
  <c r="L4" i="5"/>
  <c r="C3" i="4"/>
  <c r="B4" i="5"/>
  <c r="AD2" i="2"/>
  <c r="AQ4"/>
  <c r="F6"/>
  <c r="H6" i="1"/>
  <c r="D3" i="5"/>
  <c r="C4"/>
  <c r="B3" i="1"/>
  <c r="C3" i="2"/>
  <c r="AS5"/>
  <c r="X5"/>
  <c r="H2"/>
  <c r="M2"/>
  <c r="L5" i="5"/>
  <c r="AX3" i="2"/>
  <c r="G2" i="1"/>
  <c r="E4"/>
  <c r="AK5" i="2"/>
  <c r="D6" i="5"/>
  <c r="AM5" i="2"/>
  <c r="R5"/>
  <c r="AF2"/>
  <c r="AX4"/>
  <c r="T6"/>
  <c r="K5"/>
  <c r="L2" i="5"/>
  <c r="O6" i="2"/>
  <c r="AD6"/>
  <c r="T3"/>
  <c r="AO3"/>
  <c r="C2" i="1"/>
  <c r="F4"/>
  <c r="H4" i="5"/>
  <c r="B3" i="2"/>
  <c r="W3"/>
  <c r="Y5"/>
  <c r="D5"/>
  <c r="J2" i="5"/>
  <c r="C4" i="4"/>
  <c r="C2" i="5"/>
  <c r="Z4" i="2"/>
  <c r="AO4"/>
  <c r="D3" i="1"/>
  <c r="E3" i="2"/>
  <c r="F5" i="5"/>
  <c r="K4"/>
  <c r="N3" i="2"/>
  <c r="AI3"/>
  <c r="M5"/>
  <c r="D2"/>
  <c r="Z2"/>
  <c r="Y4"/>
  <c r="J6" i="5"/>
  <c r="AE5" i="2"/>
  <c r="J5"/>
  <c r="G2"/>
  <c r="M4"/>
  <c r="K6"/>
  <c r="AA5"/>
  <c r="E5"/>
  <c r="C5" i="1"/>
  <c r="AY6" i="2"/>
  <c r="X2"/>
  <c r="AG3"/>
  <c r="C5" i="4"/>
  <c r="G5" i="2"/>
  <c r="C2"/>
  <c r="AX2"/>
  <c r="W6"/>
  <c r="E6"/>
  <c r="F2" i="5"/>
  <c r="J3"/>
  <c r="AO6" i="2"/>
  <c r="G3" i="1"/>
  <c r="K5"/>
  <c r="AN5" i="2"/>
  <c r="E2"/>
  <c r="U5"/>
  <c r="I5" i="5"/>
  <c r="AH3" i="2"/>
  <c r="H5" i="1"/>
  <c r="AW2" i="2"/>
  <c r="V2"/>
  <c r="AI4"/>
  <c r="I6" i="1"/>
  <c r="K4" i="2"/>
  <c r="AU2"/>
  <c r="G2" i="5"/>
  <c r="K2"/>
  <c r="AR6" i="2"/>
  <c r="AX6"/>
  <c r="P3"/>
  <c r="AK3"/>
  <c r="K6" i="5"/>
  <c r="H5"/>
  <c r="AT3" i="2"/>
  <c r="AT5"/>
  <c r="AQ2"/>
  <c r="AV4"/>
  <c r="V4"/>
  <c r="E6" i="1"/>
  <c r="T4" i="2"/>
  <c r="B6" i="5"/>
  <c r="G3" i="2"/>
  <c r="B6" i="4"/>
  <c r="AL3" i="2"/>
  <c r="C6" i="4"/>
  <c r="B3"/>
  <c r="W4" i="2"/>
  <c r="AT4"/>
  <c r="AW6"/>
  <c r="I3" i="1"/>
  <c r="I4" i="5"/>
  <c r="G4"/>
  <c r="H4" i="1"/>
  <c r="S3" i="2"/>
  <c r="AC5"/>
  <c r="H5"/>
  <c r="O2"/>
  <c r="W2"/>
  <c r="F6" i="5"/>
  <c r="AU5" i="2"/>
  <c r="Z5"/>
  <c r="J2" i="1"/>
  <c r="R4" i="2"/>
  <c r="AG4"/>
  <c r="AF5"/>
  <c r="I3" i="5"/>
  <c r="Y6" i="2"/>
  <c r="C3" i="1"/>
  <c r="AV3" i="2"/>
  <c r="AR5"/>
  <c r="N2"/>
  <c r="I6" i="5"/>
  <c r="AI5" i="2"/>
  <c r="N5"/>
  <c r="AV2"/>
  <c r="AR4"/>
  <c r="AN6"/>
  <c r="D5" i="1"/>
  <c r="L6" i="2"/>
  <c r="B5" i="4"/>
  <c r="D4" i="2"/>
  <c r="I4"/>
  <c r="K6" i="1"/>
  <c r="G4"/>
  <c r="H3" i="5"/>
  <c r="C6" i="2"/>
  <c r="Y2"/>
  <c r="D6"/>
  <c r="AL4"/>
  <c r="AY4"/>
  <c r="L3"/>
  <c r="L3" i="5"/>
  <c r="U4" i="2"/>
  <c r="S6"/>
  <c r="J4" i="1"/>
  <c r="U3" i="2"/>
  <c r="C6" i="5"/>
  <c r="D5"/>
  <c r="AD3" i="2"/>
  <c r="AY3"/>
  <c r="Q2"/>
  <c r="B2"/>
  <c r="S4"/>
  <c r="Z6"/>
  <c r="AK2"/>
  <c r="O5"/>
  <c r="F2" i="1"/>
  <c r="R2" i="2"/>
  <c r="AJ6"/>
  <c r="AL6"/>
  <c r="B5" i="5"/>
  <c r="P2" i="2"/>
  <c r="T2"/>
  <c r="F3" i="1"/>
  <c r="AK6" i="2"/>
  <c r="AA4"/>
  <c r="AA6"/>
  <c r="AC6"/>
  <c r="AI2"/>
  <c r="AB3"/>
</calcChain>
</file>

<file path=xl/sharedStrings.xml><?xml version="1.0" encoding="utf-8"?>
<sst xmlns="http://schemas.openxmlformats.org/spreadsheetml/2006/main" count="85" uniqueCount="84">
  <si>
    <t>CC(=O)O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</si>
  <si>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</si>
  <si>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</si>
  <si>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</si>
  <si>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</si>
  <si>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</si>
  <si>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</si>
  <si>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</si>
  <si>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</si>
  <si>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</si>
  <si>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</si>
  <si>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</si>
  <si>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</si>
  <si>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</si>
  <si>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</si>
  <si>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</si>
  <si>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</si>
  <si>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</si>
  <si>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</si>
  <si>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</si>
  <si>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</si>
  <si>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</si>
  <si>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</si>
  <si>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</si>
  <si>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</si>
  <si>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</si>
  <si>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</si>
  <si>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</si>
  <si>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</si>
  <si>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</si>
  <si>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</si>
  <si>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</si>
  <si>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</si>
  <si>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</si>
  <si>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</si>
  <si>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</si>
  <si>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</si>
  <si>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</si>
  <si>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</si>
  <si>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</si>
  <si>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</si>
  <si>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</si>
  <si>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</si>
  <si>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</si>
  <si>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</si>
  <si>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</si>
  <si>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</si>
  <si>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</si>
  <si>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</si>
  <si>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</si>
  <si>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</si>
  <si>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</si>
  <si>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</si>
  <si>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</si>
  <si>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</si>
  <si>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</si>
  <si>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</si>
  <si>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</si>
  <si>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</si>
  <si>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</si>
  <si>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</si>
  <si>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</si>
  <si>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</si>
  <si>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</si>
  <si>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</si>
  <si>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</si>
  <si>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</si>
  <si>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</si>
  <si>
    <t>c1ccccc1</t>
  </si>
  <si>
    <t>benzen</t>
    <phoneticPr fontId="1"/>
  </si>
  <si>
    <t>CC</t>
    <phoneticPr fontId="1"/>
  </si>
  <si>
    <t>CircularFingerprinter</t>
    <phoneticPr fontId="1"/>
  </si>
  <si>
    <t>SubstructureFingerprinter</t>
  </si>
  <si>
    <t>EStateFingerprinter</t>
  </si>
  <si>
    <t>ExtendedFingerprinter</t>
  </si>
  <si>
    <t>GraphOnlyFingerprinter</t>
  </si>
  <si>
    <t>HybridizationFingerprinter</t>
  </si>
  <si>
    <t>KlekotaRothFingerprinter</t>
  </si>
  <si>
    <t>LingoFingerprinter</t>
  </si>
  <si>
    <t>MACCSFingerprinter</t>
  </si>
  <si>
    <t>PubchemFingerprinter</t>
  </si>
  <si>
    <t>ShortestPathFingerprinter</t>
  </si>
  <si>
    <t>SignatureFingerprinter</t>
    <phoneticPr fontId="1"/>
  </si>
  <si>
    <t>CCOCC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</si>
</sst>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6"/>
  <sheetViews>
    <sheetView workbookViewId="0">
      <selection activeCell="B5" sqref="B5"/>
    </sheetView>
  </sheetViews>
  <sheetFormatPr defaultRowHeight="13"/>
  <cols>
    <col min="1" max="1" width="15.453125" customWidth="1"/>
  </cols>
  <sheetData>
    <row r="1" spans="1:2">
      <c r="A1" t="s">
        <v>62</v>
      </c>
      <c r="B1" t="s">
        <v>61</v>
      </c>
    </row>
    <row r="2" spans="1:2">
      <c r="A2" t="s">
        <v>63</v>
      </c>
      <c r="B2" t="s">
        <v>70</v>
      </c>
    </row>
    <row r="3" spans="1:2">
      <c r="A3" t="s">
        <v>64</v>
      </c>
      <c r="B3" t="s">
        <v>0</v>
      </c>
    </row>
    <row r="4" spans="1:2">
      <c r="A4" t="s">
        <v>65</v>
      </c>
      <c r="B4" t="s">
        <v>83</v>
      </c>
    </row>
    <row r="5" spans="1:2">
      <c r="A5" t="s">
        <v>66</v>
      </c>
      <c r="B5" t="s">
        <v>67</v>
      </c>
    </row>
    <row r="6" spans="1:2">
      <c r="A6" t="s">
        <v>69</v>
      </c>
      <c r="B6" t="s">
        <v>68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6"/>
  <sheetViews>
    <sheetView workbookViewId="0">
      <selection activeCell="C5" sqref="C5"/>
    </sheetView>
  </sheetViews>
  <sheetFormatPr defaultRowHeight="13"/>
  <sheetData>
    <row r="1" spans="1:11">
      <c r="A1" t="str">
        <f>Compounds!B1</f>
        <v>Smiles</v>
      </c>
      <c r="B1" t="s">
        <v>60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6" si="0">CDK_AcidicGroupCountDescriptor($A3)</f>
        <v>1</v>
      </c>
      <c r="C3" t="str">
        <f t="shared" ref="C3:C6" si="1">CDK_ALOGPDescriptor($A3)</f>
        <v>-0.2299,0.05285401,12.6437</v>
      </c>
      <c r="D3" t="str">
        <f t="shared" ref="D3:D6" si="2">CDK_APolDescriptor($A3)</f>
        <v>7.791172</v>
      </c>
      <c r="E3" t="str">
        <f t="shared" ref="E3:E6" si="3">CDK_AromaticAtomsCountDescriptor($A3)</f>
        <v>0</v>
      </c>
      <c r="F3" t="str">
        <f t="shared" ref="F3:F6" si="4">CDK_AromaticBondsCountDescriptor($A3)</f>
        <v>0</v>
      </c>
      <c r="G3" t="str">
        <f t="shared" ref="G3:G6" si="5">CDK_AtomCountDescriptor($A3)</f>
        <v>8</v>
      </c>
      <c r="H3" t="str">
        <f t="shared" ref="H3:H6" si="6">CDK_AutocorrelationDescriptorCharge($A3)</f>
        <v>0.194598407923705,-0.0910121789036757,-0.00628702505817702,0,0</v>
      </c>
      <c r="I3" t="str">
        <f t="shared" ref="I3:I6" si="7">CDK_AutocorrelationDescriptorMass($A3)</f>
        <v>5.54893807108189,3.66418395426513,4.43865298980608,0,0</v>
      </c>
      <c r="J3" t="str">
        <f t="shared" ref="J3:J6" si="8">CDK_AutocorrelationDescriptorPolarizability($A3)</f>
        <v>58.780575625,47.106336,38.8410481875,0,0</v>
      </c>
      <c r="K3" t="str">
        <f t="shared" ref="K3:K6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  <row r="6" spans="1:11">
      <c r="A6" t="str">
        <f>Compounds!B6</f>
        <v>c1ccccc1</v>
      </c>
      <c r="B6" t="str">
        <f t="shared" si="0"/>
        <v>0</v>
      </c>
      <c r="C6" t="str">
        <f t="shared" si="1"/>
        <v>1.83,3.3489,26.058</v>
      </c>
      <c r="D6" t="str">
        <f t="shared" si="2"/>
        <v>14.560758</v>
      </c>
      <c r="E6" t="str">
        <f t="shared" si="3"/>
        <v>6</v>
      </c>
      <c r="F6" t="str">
        <f t="shared" si="4"/>
        <v>6</v>
      </c>
      <c r="G6" t="str">
        <f t="shared" si="5"/>
        <v>12</v>
      </c>
      <c r="H6" t="str">
        <f t="shared" si="6"/>
        <v>0,0,0,0,0</v>
      </c>
      <c r="I6" t="str">
        <f t="shared" si="7"/>
        <v>6,6,6,3,0</v>
      </c>
      <c r="J6" t="str">
        <f t="shared" si="8"/>
        <v>233.87838834375,233.87838834375,233.87838834375,116.939194171875,0</v>
      </c>
      <c r="K6" t="str">
        <f t="shared" si="9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6"/>
  <sheetViews>
    <sheetView workbookViewId="0">
      <selection activeCell="C1" sqref="C1"/>
    </sheetView>
  </sheetViews>
  <sheetFormatPr defaultRowHeight="13"/>
  <sheetData>
    <row r="1" spans="1:51">
      <c r="A1" t="str">
        <f>Compounds!B1</f>
        <v>Smiles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6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6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  <row r="6" spans="1:51">
      <c r="A6" t="str">
        <f>Compounds!B6</f>
        <v>c1ccccc1</v>
      </c>
      <c r="B6" t="str">
        <f t="shared" si="1"/>
        <v>1,1,1,1,0,0,0,1,0,0,0</v>
      </c>
      <c r="C6" t="str">
        <f t="shared" si="0"/>
        <v>0</v>
      </c>
      <c r="D6" t="str">
        <f t="shared" si="0"/>
        <v>24</v>
      </c>
      <c r="E6" t="str">
        <f t="shared" si="0"/>
        <v>2.022</v>
      </c>
      <c r="F6" t="str">
        <f t="shared" si="0"/>
        <v>27,3</v>
      </c>
      <c r="G6" t="str">
        <f t="shared" si="0"/>
        <v>NaN,NaN,NaN,NaN,NaN,NaN,NaN,NaN,NaN,NaN,NaN,NaN,NaN,NaN,NaN,NaN,NaN</v>
      </c>
      <c r="H6" t="str">
        <f t="shared" si="0"/>
        <v>11.8125,1.96875,0,0,0</v>
      </c>
      <c r="I6" t="str">
        <f t="shared" si="0"/>
        <v>78.04695024</v>
      </c>
      <c r="J6" t="str">
        <f t="shared" si="0"/>
        <v>3.58496250072116</v>
      </c>
      <c r="K6" t="str">
        <f t="shared" si="0"/>
        <v>NaN</v>
      </c>
      <c r="L6" t="str">
        <f t="shared" si="0"/>
        <v>0</v>
      </c>
      <c r="M6" t="str">
        <f t="shared" si="0"/>
        <v>0</v>
      </c>
      <c r="N6" t="str">
        <f t="shared" si="0"/>
        <v>0</v>
      </c>
      <c r="O6" t="str">
        <f t="shared" si="0"/>
        <v>0,NaN</v>
      </c>
      <c r="P6" t="str">
        <f t="shared" si="0"/>
        <v>0</v>
      </c>
      <c r="Q6" t="str">
        <f t="shared" si="0"/>
        <v>NaN,NaN,NaN,NaN,NaN,NaN,NaN</v>
      </c>
      <c r="R6" t="str">
        <f t="shared" si="0"/>
        <v>0,0,0,0,9.12546512839809,0,0,0,0,0,0,0,0,0,0,0,0,0,0</v>
      </c>
      <c r="S6" t="str">
        <f t="shared" si="0"/>
        <v>2.12</v>
      </c>
      <c r="T6" t="str">
        <f t="shared" si="0"/>
        <v>0</v>
      </c>
      <c r="U6" t="str">
        <f t="shared" si="0"/>
        <v>NaN,NaN</v>
      </c>
      <c r="V6" t="str">
        <f t="shared" si="0"/>
        <v>6</v>
      </c>
      <c r="W6" t="str">
        <f t="shared" si="0"/>
        <v>4</v>
      </c>
      <c r="X6" t="str">
        <f t="shared" si="0"/>
        <v>0,0,0,0,0,0,0,0,0,0,0,6,0,0,0,0,0,0,0,0,0,0,0,0,0,0,0,0,0,0,0,0,0,0,0,0,0,0,0,0,0,0,0,0,0,0,0,0,0,0,0,0,0,0,0,0,0,0,0,0,0,0,0,0,0,0,0,0,0,0,0,0,0,0,0,0,0,0,0</v>
      </c>
      <c r="Y6" t="str">
        <f t="shared" si="0"/>
        <v>4.16666666666667,2.22222222222222,1.33333333333333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NaN,NaN,NaN,NaN,NaN,NaN,NaN,NaN,NaN</v>
      </c>
      <c r="AD6" t="str">
        <f t="shared" si="0"/>
        <v>114</v>
      </c>
      <c r="AE6" t="str">
        <f t="shared" si="0"/>
        <v>1</v>
      </c>
      <c r="AF6" t="str">
        <f t="shared" si="0"/>
        <v>36</v>
      </c>
      <c r="AG6" t="str">
        <f t="shared" si="0"/>
        <v>NaN,NaN,NaN,NaN,NaN,NaN,NaN,NaN,NaN,NaN,NaN,NaN,NaN,NaN,NaN,NaN,NaN,NaN,NaN,NaN,NaN,NaN,NaN,NaN,NaN,NaN,NaN,NaN,NaN</v>
      </c>
      <c r="AH6" t="str">
        <f t="shared" si="0"/>
        <v>4.24264068711928,3,2.12132034355964,1.5,1.06066017177982,0.75,0,0,3.46410161513775,2,1.15470053837925,0.666666666666667,0.384900179459751,0.222222222222222,0,0</v>
      </c>
      <c r="AI6" t="str">
        <f t="shared" si="0"/>
        <v>0,0,0,0,0,0</v>
      </c>
      <c r="AJ6" t="str">
        <f t="shared" si="0"/>
        <v>0,0,0,0,0,0,0,0</v>
      </c>
      <c r="AK6" t="str">
        <f t="shared" si="0"/>
        <v>0,0,0,0.125,0,0,0,0,0.037037037037037,0</v>
      </c>
      <c r="AL6" t="str">
        <f t="shared" si="0"/>
        <v>0,0,0,6,0,0,0,0,0</v>
      </c>
      <c r="AM6" t="str">
        <f t="shared" si="0"/>
        <v>6.559242</v>
      </c>
      <c r="AN6" t="str">
        <f t="shared" si="0"/>
        <v>6</v>
      </c>
      <c r="AO6" t="str">
        <f t="shared" si="0"/>
        <v>11.85,12.1500544016358,-0.211758152069243,0.0882962495665529,6.093375,6.3934294016358</v>
      </c>
      <c r="AP6" t="str">
        <f t="shared" si="0"/>
        <v>0</v>
      </c>
      <c r="AQ6" t="str">
        <f t="shared" si="0"/>
        <v>233.87838834375,233.87838834375,233.87838834375,116.939194171875,0</v>
      </c>
      <c r="AR6" t="str">
        <f t="shared" si="0"/>
        <v>6,6,6,3,0</v>
      </c>
      <c r="AS6" t="str">
        <f t="shared" si="0"/>
        <v>0,0,0,0,0</v>
      </c>
      <c r="AT6" t="str">
        <f t="shared" si="0"/>
        <v>12</v>
      </c>
      <c r="AU6" t="str">
        <f t="shared" si="0"/>
        <v>6</v>
      </c>
      <c r="AV6" t="str">
        <f t="shared" si="0"/>
        <v>6</v>
      </c>
      <c r="AW6" t="str">
        <f t="shared" si="0"/>
        <v>14.560758</v>
      </c>
      <c r="AX6" t="str">
        <f t="shared" si="0"/>
        <v>1.83,3.3489,26.058</v>
      </c>
      <c r="AY6" t="str">
        <f t="shared" si="0"/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"/>
  <sheetViews>
    <sheetView tabSelected="1" zoomScale="250" zoomScaleNormal="250" workbookViewId="0"/>
  </sheetViews>
  <sheetFormatPr defaultRowHeight="13"/>
  <cols>
    <col min="3" max="3" width="8.6328125" customWidth="1"/>
  </cols>
  <sheetData>
    <row r="1" spans="1:3">
      <c r="A1" t="str">
        <f>Compounds!B1</f>
        <v>Smiles</v>
      </c>
      <c r="B1" t="s">
        <v>71</v>
      </c>
      <c r="C1" t="s">
        <v>82</v>
      </c>
    </row>
    <row r="2" spans="1:3">
      <c r="A2" t="str">
        <f>Compounds!B2</f>
        <v>CC</v>
      </c>
      <c r="B2" t="str">
        <f>CDK_CircularFingerprinter($A2)</f>
        <v>{253, 947}</v>
      </c>
      <c r="C2" t="str">
        <f>CDK_SignatureFingerprinterAsJson($A2)</f>
        <v>{"[C]([C])":2}</v>
      </c>
    </row>
    <row r="3" spans="1:3">
      <c r="A3" t="str">
        <f>Compounds!B3</f>
        <v>CC(=O)O</v>
      </c>
      <c r="B3" t="str">
        <f t="shared" ref="B3:B6" si="0">CDK_CircularFingerprinter($A3)</f>
        <v>{19, 65, 93, 507, 625, 726, 761, 947}</v>
      </c>
      <c r="C3" t="str">
        <f t="shared" ref="C3:C6" si="1">CDK_SignatureFingerprinterAsJson($A3)</f>
        <v>{"[C]([C])":1,"[C]([C][O]=[O])":1,"[O](=[C])":1,"[O]([C])":1}</v>
      </c>
    </row>
    <row r="4" spans="1:3">
      <c r="A4" t="str">
        <f>Compounds!B4</f>
        <v>CCOCC</v>
      </c>
      <c r="B4" t="str">
        <f t="shared" si="0"/>
        <v>{152, 346, 504, 573, 689, 775, 947, 993}</v>
      </c>
      <c r="C4" t="str">
        <f t="shared" si="1"/>
        <v>{"[C]([C])":2,"[C]([C][O])":2,"[O]([C][C])":1}</v>
      </c>
    </row>
    <row r="5" spans="1:3">
      <c r="A5" t="str">
        <f>Compounds!B5</f>
        <v>CCNCC</v>
      </c>
      <c r="B5" t="str">
        <f t="shared" si="0"/>
        <v>{21, 57, 152, 515, 561, 686, 947, 993}</v>
      </c>
      <c r="C5" t="str">
        <f t="shared" si="1"/>
        <v>{"[C]([C])":2,"[C]([C][N])":2,"[N]([C][C])":1}</v>
      </c>
    </row>
    <row r="6" spans="1:3">
      <c r="A6" t="str">
        <f>Compounds!B6</f>
        <v>c1ccccc1</v>
      </c>
      <c r="B6" t="str">
        <f t="shared" si="0"/>
        <v>{420, 486, 538, 967}</v>
      </c>
      <c r="C6" t="str">
        <f t="shared" si="1"/>
        <v>{"[C](p[C]p[C])":6}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6"/>
  <sheetViews>
    <sheetView workbookViewId="0">
      <selection activeCell="L5" sqref="L5"/>
    </sheetView>
  </sheetViews>
  <sheetFormatPr defaultRowHeight="13"/>
  <sheetData>
    <row r="1" spans="1:12">
      <c r="A1" t="str">
        <f>Compounds!B1</f>
        <v>Smiles</v>
      </c>
      <c r="B1" t="s">
        <v>71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72</v>
      </c>
    </row>
    <row r="2" spans="1:12">
      <c r="A2" t="str">
        <f>Compounds!B2</f>
        <v>CC</v>
      </c>
      <c r="B2" t="str">
        <f t="shared" ref="B2:L6" si="0">CDK_BitFingerprinterValue(B$1,$A2)</f>
        <v>{253, 947}</v>
      </c>
      <c r="C2" t="str">
        <f t="shared" si="0"/>
        <v>{6}</v>
      </c>
      <c r="D2" t="str">
        <f t="shared" si="0"/>
        <v>{949, 995}</v>
      </c>
      <c r="E2" t="str">
        <f t="shared" si="0"/>
        <v>{742, 927}</v>
      </c>
      <c r="F2" t="str">
        <f t="shared" si="0"/>
        <v>{637, 742}</v>
      </c>
      <c r="G2" t="str">
        <f>CDK_BitFingerprinterValue(G$1,$A2)</f>
        <v>{668, 2974, 3223}</v>
      </c>
      <c r="H2" t="str">
        <f t="shared" si="0"/>
        <v>{}</v>
      </c>
      <c r="I2" t="str">
        <f t="shared" si="0"/>
        <v>{148, 159}</v>
      </c>
      <c r="J2" t="str">
        <f t="shared" si="0"/>
        <v>{9, 283, 284, 344, 374}</v>
      </c>
      <c r="K2" t="str">
        <f t="shared" si="0"/>
        <v>{115, 503, 653}</v>
      </c>
      <c r="L2" t="str">
        <f t="shared" si="0"/>
        <v>{0}</v>
      </c>
    </row>
    <row r="3" spans="1:12">
      <c r="A3" t="str">
        <f>Compounds!B3</f>
        <v>CC(=O)O</v>
      </c>
      <c r="B3" t="str">
        <f t="shared" si="0"/>
        <v>{19, 65, 93, 507, 625, 726, 761, 947}</v>
      </c>
      <c r="C3" t="str">
        <f t="shared" si="0"/>
        <v>{6, 15, 33, 34}</v>
      </c>
      <c r="D3" t="str">
        <f t="shared" si="0"/>
        <v>{118, 146, 481, 605, 612, 949, 952, 995}</v>
      </c>
      <c r="E3" t="str">
        <f t="shared" si="0"/>
        <v>{242, 244, 741, 742, 927, 966}</v>
      </c>
      <c r="F3" t="str">
        <f t="shared" si="0"/>
        <v>{300, 402, 404, 637, 741, 742, 929, 965}</v>
      </c>
      <c r="G3" t="str">
        <f t="shared" si="0"/>
        <v>{668, 1147, 1192, 1262, 1405, 2948, 2974, 3024, 3223, 3327, 3454, 3787, 3955, 4330, 4694}</v>
      </c>
      <c r="H3" t="str">
        <f t="shared" si="0"/>
        <v>{5, 149, 220, 620}</v>
      </c>
      <c r="I3" t="str">
        <f t="shared" si="0"/>
        <v>{122, 138, 153, 156, 158, 159, 163}</v>
      </c>
      <c r="J3" t="str">
        <f t="shared" si="0"/>
        <v>{9, 18, 19, 283, 284, 286, 308, 344, 352, 374, 380, 406, 420, 440, 443, 452}</v>
      </c>
      <c r="K3" t="e">
        <f t="shared" si="0"/>
        <v>#VALUE!</v>
      </c>
      <c r="L3" t="str">
        <f t="shared" si="0"/>
        <v>{0, 83, 87, 294, 299}</v>
      </c>
    </row>
    <row r="4" spans="1:12">
      <c r="A4" t="str">
        <f>Compounds!B4</f>
        <v>CCOCC</v>
      </c>
      <c r="B4" t="str">
        <f t="shared" si="0"/>
        <v>{152, 346, 504, 573, 689, 775, 947, 993}</v>
      </c>
      <c r="C4" t="str">
        <f t="shared" si="0"/>
        <v>{6, 8, 35}</v>
      </c>
      <c r="D4" t="str">
        <f t="shared" si="0"/>
        <v>{118, 146, 481, 745, 781, 907, 949, 995}</v>
      </c>
      <c r="E4" t="str">
        <f t="shared" si="0"/>
        <v>{95, 242, 484, 541, 741, 742, 927, 966}</v>
      </c>
      <c r="F4" t="str">
        <f t="shared" si="0"/>
        <v>{300, 625, 637, 727, 741, 742, 831, 929}</v>
      </c>
      <c r="G4" t="str">
        <f t="shared" si="0"/>
        <v>{296, 465, 646, 647, 650, 668, 2546, 2594, 2974, 3223, 3787, 3788, 3955, 3956, 4330}</v>
      </c>
      <c r="H4" t="str">
        <f t="shared" si="0"/>
        <v>{131, 216, 220, 234}</v>
      </c>
      <c r="I4" t="str">
        <f t="shared" si="0"/>
        <v>{85, 108, 113, 115, 125, 137, 148, 152, 154, 156, 159, 163}</v>
      </c>
      <c r="J4" t="str">
        <f t="shared" si="0"/>
        <v>{9, 10, 18, 283, 284, 286, 344, 346, 352, 366, 374, 405, 614}</v>
      </c>
      <c r="K4" t="str">
        <f t="shared" si="0"/>
        <v>{115, 243, 248, 298, 503, 653, 766, 840, 889, 930, 944, 1006}</v>
      </c>
      <c r="L4" t="str">
        <f t="shared" si="0"/>
        <v>{0, 15, 294, 301}</v>
      </c>
    </row>
    <row r="5" spans="1:12">
      <c r="A5" t="str">
        <f>Compounds!B5</f>
        <v>CCNCC</v>
      </c>
      <c r="B5" t="str">
        <f t="shared" si="0"/>
        <v>{21, 57, 152, 515, 561, 686, 947, 993}</v>
      </c>
      <c r="C5" t="str">
        <f t="shared" si="0"/>
        <v>{6, 8, 23}</v>
      </c>
      <c r="D5" t="str">
        <f t="shared" si="0"/>
        <v>{183, 219, 227, 259, 477, 712, 949, 995}</v>
      </c>
      <c r="E5" t="str">
        <f t="shared" si="0"/>
        <v>{113, 543, 572, 741, 742, 927, 969, 1002}</v>
      </c>
      <c r="F5" t="str">
        <f t="shared" si="0"/>
        <v>{17, 391, 543, 637, 741, 742, 953, 1004}</v>
      </c>
      <c r="G5" t="str">
        <f t="shared" si="0"/>
        <v>{296, 465, 466, 475, 668, 676, 787, 2974, 3223, 3749, 3772, 3781, 3881, 3925, 4079}</v>
      </c>
      <c r="H5" t="str">
        <f t="shared" si="0"/>
        <v>{131, 216, 221, 234}</v>
      </c>
      <c r="I5" t="str">
        <f t="shared" si="0"/>
        <v>{81, 85, 99, 113, 115, 137, 148, 150, 152, 154, 157, 159, 160}</v>
      </c>
      <c r="J5" t="str">
        <f t="shared" si="0"/>
        <v>{9, 10, 14, 283, 284, 285, 299, 344, 345, 351, 365, 374, 390, 392, 393, 528, 540, 643, 656}</v>
      </c>
      <c r="K5" t="str">
        <f t="shared" si="0"/>
        <v>{16, 82, 115, 120, 224, 503, 567, 653, 657, 693, 833, 1008}</v>
      </c>
      <c r="L5" t="str">
        <f t="shared" si="0"/>
        <v>{0, 22, 24, 294, 301, 306}</v>
      </c>
    </row>
    <row r="6" spans="1:12">
      <c r="A6" t="str">
        <f>Compounds!B6</f>
        <v>c1ccccc1</v>
      </c>
      <c r="B6" t="str">
        <f t="shared" si="0"/>
        <v>{420, 486, 538, 967}</v>
      </c>
      <c r="C6" t="str">
        <f t="shared" si="0"/>
        <v>{11}</v>
      </c>
      <c r="D6" t="str">
        <f t="shared" si="0"/>
        <v>{53, 78, 187, 541, 926, 949, 1009, 1013}</v>
      </c>
      <c r="E6" t="str">
        <f t="shared" si="0"/>
        <v>{185, 293, 338, 595, 742, 927}</v>
      </c>
      <c r="F6" t="str">
        <f t="shared" si="0"/>
        <v>{95, 161, 213, 253, 574, 742}</v>
      </c>
      <c r="G6" t="str">
        <f t="shared" si="0"/>
        <v>{}</v>
      </c>
      <c r="H6" t="str">
        <f t="shared" si="0"/>
        <v>{24, 1003}</v>
      </c>
      <c r="I6" t="str">
        <f t="shared" si="0"/>
        <v>{161, 162, 164}</v>
      </c>
      <c r="J6" t="str">
        <f t="shared" si="0"/>
        <v>{9, 10, 178, 179, 255, 283, 284, 332, 344, 355, 370, 371, 384, 416, 434, 441, 446, 470, 490, 516, 520, 524, 552, 556, 564, 570, 578, 582, 584, 595, 599, 603, 608, 618, 634, 640, 660, 664, 668, 677, 678, 679}</v>
      </c>
      <c r="K6" t="e">
        <f t="shared" si="0"/>
        <v>#VALUE!</v>
      </c>
      <c r="L6" t="str">
        <f t="shared" si="0"/>
        <v>{273, 306}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Compounds</vt:lpstr>
      <vt:lpstr>Descriptor_by_Function</vt:lpstr>
      <vt:lpstr>Descriptor_by_Name</vt:lpstr>
      <vt:lpstr>Fingerprinter_by_Function</vt:lpstr>
      <vt:lpstr>Fingerprinter_by_Name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2017-09-04T14:31:23Z</dcterms:modified>
</cp:coreProperties>
</file>