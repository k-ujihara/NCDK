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5" i="2"/>
  <c r="A5" i="1"/>
  <c r="A4"/>
  <c r="A3"/>
  <c r="A2"/>
  <c r="A1"/>
  <c r="A4" i="2"/>
  <c r="A3"/>
  <c r="A2"/>
  <c r="A1"/>
  <c r="B5"/>
  <c r="F5"/>
  <c r="J5"/>
  <c r="N5"/>
  <c r="R5"/>
  <c r="V5"/>
  <c r="Z5"/>
  <c r="AD5"/>
  <c r="AH5"/>
  <c r="AL5"/>
  <c r="AP5"/>
  <c r="AT5"/>
  <c r="AX5"/>
  <c r="D5" i="1"/>
  <c r="H5"/>
  <c r="AY4" i="2"/>
  <c r="AU4"/>
  <c r="AQ4"/>
  <c r="AM4"/>
  <c r="AI4"/>
  <c r="AE4"/>
  <c r="AA4"/>
  <c r="W4"/>
  <c r="S4"/>
  <c r="O4"/>
  <c r="K4"/>
  <c r="G4"/>
  <c r="C4"/>
  <c r="AW3"/>
  <c r="AS3"/>
  <c r="AO3"/>
  <c r="AK3"/>
  <c r="AG3"/>
  <c r="AC3"/>
  <c r="Y3"/>
  <c r="U3"/>
  <c r="Q3"/>
  <c r="M3"/>
  <c r="I3"/>
  <c r="E3"/>
  <c r="AY2"/>
  <c r="AU2"/>
  <c r="AQ2"/>
  <c r="AM2"/>
  <c r="AI2"/>
  <c r="AE2"/>
  <c r="AA2"/>
  <c r="W2"/>
  <c r="S2"/>
  <c r="O2"/>
  <c r="K2"/>
  <c r="G2"/>
  <c r="C2"/>
  <c r="I4" i="1"/>
  <c r="E4"/>
  <c r="K3"/>
  <c r="G3"/>
  <c r="C3"/>
  <c r="I2"/>
  <c r="E2"/>
  <c r="I5" i="2"/>
  <c r="U5"/>
  <c r="AC5"/>
  <c r="AK5"/>
  <c r="AW5"/>
  <c r="K5" i="1"/>
  <c r="AN4" i="2"/>
  <c r="AB4"/>
  <c r="L4"/>
  <c r="AX3"/>
  <c r="AP3"/>
  <c r="AD3"/>
  <c r="R3"/>
  <c r="F3"/>
  <c r="AR2"/>
  <c r="AB2"/>
  <c r="P2"/>
  <c r="H2"/>
  <c r="F4" i="1"/>
  <c r="D3"/>
  <c r="B2"/>
  <c r="E5" i="2"/>
  <c r="D5"/>
  <c r="H5"/>
  <c r="L5"/>
  <c r="P5"/>
  <c r="T5"/>
  <c r="X5"/>
  <c r="AB5"/>
  <c r="AF5"/>
  <c r="AJ5"/>
  <c r="AN5"/>
  <c r="AR5"/>
  <c r="AV5"/>
  <c r="B5" i="1"/>
  <c r="F5"/>
  <c r="J5"/>
  <c r="AW4" i="2"/>
  <c r="AS4"/>
  <c r="AO4"/>
  <c r="AK4"/>
  <c r="AG4"/>
  <c r="AC4"/>
  <c r="Y4"/>
  <c r="U4"/>
  <c r="Q4"/>
  <c r="M4"/>
  <c r="I4"/>
  <c r="E4"/>
  <c r="AY3"/>
  <c r="AU3"/>
  <c r="AQ3"/>
  <c r="AM3"/>
  <c r="AI3"/>
  <c r="AE3"/>
  <c r="AA3"/>
  <c r="W3"/>
  <c r="S3"/>
  <c r="O3"/>
  <c r="K3"/>
  <c r="G3"/>
  <c r="C3"/>
  <c r="AW2"/>
  <c r="AS2"/>
  <c r="AO2"/>
  <c r="AK2"/>
  <c r="AG2"/>
  <c r="AC2"/>
  <c r="Y2"/>
  <c r="U2"/>
  <c r="Q2"/>
  <c r="M2"/>
  <c r="I2"/>
  <c r="E2"/>
  <c r="K4" i="1"/>
  <c r="G4"/>
  <c r="C4"/>
  <c r="I3"/>
  <c r="E3"/>
  <c r="K2"/>
  <c r="G2"/>
  <c r="C2"/>
  <c r="D2"/>
  <c r="Q5" i="2"/>
  <c r="AO5"/>
  <c r="G5" i="1"/>
  <c r="AR4" i="2"/>
  <c r="AF4"/>
  <c r="T4"/>
  <c r="H4"/>
  <c r="AT3"/>
  <c r="AH3"/>
  <c r="V3"/>
  <c r="J3"/>
  <c r="AV2"/>
  <c r="AJ2"/>
  <c r="X2"/>
  <c r="L2"/>
  <c r="J4" i="1"/>
  <c r="H3"/>
  <c r="F2"/>
  <c r="C5" i="2"/>
  <c r="G5"/>
  <c r="K5"/>
  <c r="O5"/>
  <c r="S5"/>
  <c r="W5"/>
  <c r="AA5"/>
  <c r="AE5"/>
  <c r="AI5"/>
  <c r="AM5"/>
  <c r="AQ5"/>
  <c r="AU5"/>
  <c r="AY5"/>
  <c r="E5" i="1"/>
  <c r="I5"/>
  <c r="AX4" i="2"/>
  <c r="AT4"/>
  <c r="AP4"/>
  <c r="AL4"/>
  <c r="AH4"/>
  <c r="AD4"/>
  <c r="Z4"/>
  <c r="V4"/>
  <c r="R4"/>
  <c r="N4"/>
  <c r="J4"/>
  <c r="F4"/>
  <c r="B4"/>
  <c r="AV3"/>
  <c r="AR3"/>
  <c r="AN3"/>
  <c r="AJ3"/>
  <c r="AF3"/>
  <c r="AB3"/>
  <c r="X3"/>
  <c r="T3"/>
  <c r="P3"/>
  <c r="L3"/>
  <c r="H3"/>
  <c r="D3"/>
  <c r="AX2"/>
  <c r="AT2"/>
  <c r="AP2"/>
  <c r="AL2"/>
  <c r="AH2"/>
  <c r="AD2"/>
  <c r="Z2"/>
  <c r="V2"/>
  <c r="R2"/>
  <c r="N2"/>
  <c r="J2"/>
  <c r="F2"/>
  <c r="B2"/>
  <c r="H4" i="1"/>
  <c r="D4"/>
  <c r="J3"/>
  <c r="F3"/>
  <c r="B3"/>
  <c r="H2"/>
  <c r="M5" i="2"/>
  <c r="Y5"/>
  <c r="AG5"/>
  <c r="AS5"/>
  <c r="C5" i="1"/>
  <c r="AV4" i="2"/>
  <c r="AJ4"/>
  <c r="X4"/>
  <c r="P4"/>
  <c r="D4"/>
  <c r="AL3"/>
  <c r="Z3"/>
  <c r="N3"/>
  <c r="B3"/>
  <c r="AN2"/>
  <c r="AF2"/>
  <c r="T2"/>
  <c r="D2"/>
  <c r="B4" i="1"/>
  <c r="J2"/>
</calcChain>
</file>

<file path=xl/sharedStrings.xml><?xml version="1.0" encoding="utf-8"?>
<sst xmlns="http://schemas.openxmlformats.org/spreadsheetml/2006/main" count="70" uniqueCount="70">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</sst>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>
      <selection activeCell="A6" sqref="A6"/>
    </sheetView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5"/>
  <sheetViews>
    <sheetView workbookViewId="0"/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5" si="0">CDK_AcidicGroupCountDescriptor($A3)</f>
        <v>1</v>
      </c>
      <c r="C3" t="str">
        <f t="shared" ref="C3:C5" si="1">CDK_ALOGPDescriptor($A3)</f>
        <v>-0.2299,0.05285401,12.6437</v>
      </c>
      <c r="D3" t="str">
        <f t="shared" ref="D3:D5" si="2">CDK_APolDescriptor($A3)</f>
        <v>7.791172</v>
      </c>
      <c r="E3" t="str">
        <f t="shared" ref="E3:E5" si="3">CDK_AromaticAtomsCountDescriptor($A3)</f>
        <v>0</v>
      </c>
      <c r="F3" t="str">
        <f t="shared" ref="F3:F5" si="4">CDK_AromaticBondsCountDescriptor($A3)</f>
        <v>0</v>
      </c>
      <c r="G3" t="str">
        <f t="shared" ref="G3:G5" si="5">CDK_AtomCountDescriptor($A3)</f>
        <v>8</v>
      </c>
      <c r="H3" t="str">
        <f t="shared" ref="H3:H5" si="6">CDK_AutocorrelationDescriptorCharge($A3)</f>
        <v>0.194598407923705,-0.0910121789036757,-0.00628702505817702,0,0</v>
      </c>
      <c r="I3" t="str">
        <f t="shared" ref="I3:I5" si="7">CDK_AutocorrelationDescriptorMass($A3)</f>
        <v>5.54893807108189,3.66418395426513,4.43865298980608,0,0</v>
      </c>
      <c r="J3" t="str">
        <f t="shared" ref="J3:J5" si="8">CDK_AutocorrelationDescriptorPolarizability($A3)</f>
        <v>58.780575625,47.106336,38.8410481875,0,0</v>
      </c>
      <c r="K3" t="str">
        <f t="shared" ref="K3:K5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5"/>
  <sheetViews>
    <sheetView workbookViewId="0">
      <selection activeCell="B2" sqref="B2"/>
    </sheetView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5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5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2017-09-09T06:49:02Z</dcterms:modified>
</cp:coreProperties>
</file>