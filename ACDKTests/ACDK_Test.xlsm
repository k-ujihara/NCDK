
<file path=[Content_Types].xml><?xml version="1.0" encoding="utf-8"?>
<Types xmlns="http://schemas.openxmlformats.org/package/2006/content-types">
  <Default Extension="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0" yWindow="50" windowWidth="19170" windowHeight="7440"/>
  </bookViews>
  <sheets>
    <sheet name="Compounds" sheetId="3" r:id="rId1"/>
    <sheet name="By_Function" sheetId="1" r:id="rId2"/>
    <sheet name="By_Name" sheetId="2" r:id="rId3"/>
  </sheets>
  <functionGroups/>
  <calcPr calcId="125725"/>
</workbook>
</file>

<file path=xl/calcChain.xml><?xml version="1.0" encoding="utf-8"?>
<calcChain xmlns="http://schemas.openxmlformats.org/spreadsheetml/2006/main">
  <c r="A5" i="2"/>
  <c r="A5" i="1"/>
  <c r="A4"/>
  <c r="A3"/>
  <c r="A2"/>
  <c r="A1"/>
  <c r="A4" i="2"/>
  <c r="A3"/>
  <c r="A2"/>
  <c r="A1"/>
  <c r="B5"/>
  <c r="F5"/>
  <c r="J5"/>
  <c r="N5"/>
  <c r="R5"/>
  <c r="V5"/>
  <c r="Z5"/>
  <c r="AD5"/>
  <c r="AH5"/>
  <c r="AL5"/>
  <c r="AP5"/>
  <c r="AT5"/>
  <c r="AX5"/>
  <c r="D5" i="1"/>
  <c r="H5"/>
  <c r="AY4" i="2"/>
  <c r="AU4"/>
  <c r="AQ4"/>
  <c r="AM4"/>
  <c r="AI4"/>
  <c r="AE4"/>
  <c r="AA4"/>
  <c r="W4"/>
  <c r="S4"/>
  <c r="O4"/>
  <c r="K4"/>
  <c r="G4"/>
  <c r="C4"/>
  <c r="AW3"/>
  <c r="AS3"/>
  <c r="AO3"/>
  <c r="AK3"/>
  <c r="AG3"/>
  <c r="AC3"/>
  <c r="Y3"/>
  <c r="U3"/>
  <c r="Q3"/>
  <c r="M3"/>
  <c r="I3"/>
  <c r="E3"/>
  <c r="AY2"/>
  <c r="AU2"/>
  <c r="AQ2"/>
  <c r="AM2"/>
  <c r="AI2"/>
  <c r="AE2"/>
  <c r="AA2"/>
  <c r="W2"/>
  <c r="S2"/>
  <c r="O2"/>
  <c r="K2"/>
  <c r="G2"/>
  <c r="C2"/>
  <c r="I4" i="1"/>
  <c r="E4"/>
  <c r="K3"/>
  <c r="G3"/>
  <c r="C3"/>
  <c r="I2"/>
  <c r="E2"/>
  <c r="I5" i="2"/>
  <c r="U5"/>
  <c r="AC5"/>
  <c r="AK5"/>
  <c r="AW5"/>
  <c r="K5" i="1"/>
  <c r="AN4" i="2"/>
  <c r="AB4"/>
  <c r="L4"/>
  <c r="AX3"/>
  <c r="AP3"/>
  <c r="AD3"/>
  <c r="R3"/>
  <c r="F3"/>
  <c r="AR2"/>
  <c r="AB2"/>
  <c r="P2"/>
  <c r="H2"/>
  <c r="F4" i="1"/>
  <c r="D3"/>
  <c r="B2"/>
  <c r="E5" i="2"/>
  <c r="D5"/>
  <c r="H5"/>
  <c r="L5"/>
  <c r="P5"/>
  <c r="T5"/>
  <c r="X5"/>
  <c r="AB5"/>
  <c r="AF5"/>
  <c r="AJ5"/>
  <c r="AN5"/>
  <c r="AR5"/>
  <c r="AV5"/>
  <c r="B5" i="1"/>
  <c r="F5"/>
  <c r="J5"/>
  <c r="AW4" i="2"/>
  <c r="AS4"/>
  <c r="AO4"/>
  <c r="AK4"/>
  <c r="AG4"/>
  <c r="AC4"/>
  <c r="Y4"/>
  <c r="U4"/>
  <c r="Q4"/>
  <c r="M4"/>
  <c r="I4"/>
  <c r="E4"/>
  <c r="AY3"/>
  <c r="AU3"/>
  <c r="AQ3"/>
  <c r="AM3"/>
  <c r="AI3"/>
  <c r="AE3"/>
  <c r="AA3"/>
  <c r="W3"/>
  <c r="S3"/>
  <c r="O3"/>
  <c r="K3"/>
  <c r="G3"/>
  <c r="C3"/>
  <c r="AW2"/>
  <c r="AS2"/>
  <c r="AO2"/>
  <c r="AK2"/>
  <c r="AG2"/>
  <c r="AC2"/>
  <c r="Y2"/>
  <c r="U2"/>
  <c r="Q2"/>
  <c r="M2"/>
  <c r="I2"/>
  <c r="E2"/>
  <c r="K4" i="1"/>
  <c r="G4"/>
  <c r="C4"/>
  <c r="I3"/>
  <c r="E3"/>
  <c r="K2"/>
  <c r="G2"/>
  <c r="C2"/>
  <c r="D2"/>
  <c r="Q5" i="2"/>
  <c r="AO5"/>
  <c r="G5" i="1"/>
  <c r="AR4" i="2"/>
  <c r="AF4"/>
  <c r="T4"/>
  <c r="H4"/>
  <c r="AT3"/>
  <c r="AH3"/>
  <c r="V3"/>
  <c r="J3"/>
  <c r="AV2"/>
  <c r="AJ2"/>
  <c r="X2"/>
  <c r="L2"/>
  <c r="J4" i="1"/>
  <c r="H3"/>
  <c r="F2"/>
  <c r="C5" i="2"/>
  <c r="G5"/>
  <c r="K5"/>
  <c r="O5"/>
  <c r="S5"/>
  <c r="W5"/>
  <c r="AA5"/>
  <c r="AE5"/>
  <c r="AI5"/>
  <c r="AM5"/>
  <c r="AQ5"/>
  <c r="AU5"/>
  <c r="AY5"/>
  <c r="E5" i="1"/>
  <c r="I5"/>
  <c r="AX4" i="2"/>
  <c r="AT4"/>
  <c r="AP4"/>
  <c r="AL4"/>
  <c r="AH4"/>
  <c r="AD4"/>
  <c r="Z4"/>
  <c r="V4"/>
  <c r="R4"/>
  <c r="N4"/>
  <c r="J4"/>
  <c r="F4"/>
  <c r="B4"/>
  <c r="AV3"/>
  <c r="AR3"/>
  <c r="AN3"/>
  <c r="AJ3"/>
  <c r="AF3"/>
  <c r="AB3"/>
  <c r="X3"/>
  <c r="T3"/>
  <c r="P3"/>
  <c r="L3"/>
  <c r="H3"/>
  <c r="D3"/>
  <c r="AX2"/>
  <c r="AT2"/>
  <c r="AP2"/>
  <c r="AL2"/>
  <c r="AH2"/>
  <c r="AD2"/>
  <c r="Z2"/>
  <c r="V2"/>
  <c r="R2"/>
  <c r="N2"/>
  <c r="J2"/>
  <c r="F2"/>
  <c r="B2"/>
  <c r="H4" i="1"/>
  <c r="D4"/>
  <c r="J3"/>
  <c r="F3"/>
  <c r="B3"/>
  <c r="H2"/>
  <c r="M5" i="2"/>
  <c r="Y5"/>
  <c r="AG5"/>
  <c r="AS5"/>
  <c r="C5" i="1"/>
  <c r="AV4" i="2"/>
  <c r="AJ4"/>
  <c r="X4"/>
  <c r="P4"/>
  <c r="D4"/>
  <c r="AL3"/>
  <c r="Z3"/>
  <c r="N3"/>
  <c r="B3"/>
  <c r="AN2"/>
  <c r="AF2"/>
  <c r="T2"/>
  <c r="D2"/>
  <c r="B4" i="1"/>
  <c r="J2"/>
</calcChain>
</file>

<file path=xl/sharedStrings.xml><?xml version="1.0" encoding="utf-8"?>
<sst xmlns="http://schemas.openxmlformats.org/spreadsheetml/2006/main" count="70" uniqueCount="70">
  <si>
    <t>CC(=O)O</t>
    <phoneticPr fontId="1"/>
  </si>
  <si>
    <t>CC</t>
    <phoneticPr fontId="1"/>
  </si>
  <si>
    <t>SmallRingDescriptor</t>
  </si>
  <si>
    <t>FractionalPSADescriptor</t>
  </si>
  <si>
    <t>ZagrebIndexDescriptor</t>
  </si>
  <si>
    <t>XLogPDescriptor</t>
  </si>
  <si>
    <t>WienerNumbersDescriptor</t>
  </si>
  <si>
    <t>WHIMDescriptor</t>
  </si>
  <si>
    <t>WeightedPathDescriptor</t>
  </si>
  <si>
    <t>WeightDescriptor</t>
  </si>
  <si>
    <t>VAdjMaDescriptor</t>
  </si>
  <si>
    <t>VABCDescriptor</t>
  </si>
  <si>
    <t>TPSADescriptor</t>
  </si>
  <si>
    <t>RuleOfFiveDescriptor</t>
  </si>
  <si>
    <t>RotatableBondsCountDescriptor</t>
  </si>
  <si>
    <t>PetitjeanShapeIndexDescriptor</t>
  </si>
  <si>
    <t>PetitjeanNumberDescriptor</t>
  </si>
  <si>
    <t>MomentOfInertiaDescriptor</t>
  </si>
  <si>
    <t>MDEDescriptor</t>
  </si>
  <si>
    <t>MannholdLogPDescriptor</t>
  </si>
  <si>
    <t>LongestAliphaticChainDescriptor</t>
  </si>
  <si>
    <t>LengthOverBreadthDescriptor</t>
  </si>
  <si>
    <t>LargestPiSystemDescriptor</t>
  </si>
  <si>
    <t>LargestChainDescriptor</t>
  </si>
  <si>
    <t>KierHallSmartsDescriptor</t>
  </si>
  <si>
    <t>KappaShapeIndicesDescriptor</t>
  </si>
  <si>
    <t>HybridizationRatioDescriptor</t>
  </si>
  <si>
    <t>HBondDonorCountDescriptor</t>
  </si>
  <si>
    <t>HBondAcceptorCountDescriptor</t>
  </si>
  <si>
    <t>GravitationalIndexDescriptor</t>
  </si>
  <si>
    <t>FragmentComplexityDescriptor</t>
  </si>
  <si>
    <t>FMFDescriptor</t>
  </si>
  <si>
    <t>EccentricConnectivityIndexDescriptor</t>
  </si>
  <si>
    <t>CPSADescriptor</t>
  </si>
  <si>
    <t>ChiPathDescriptor</t>
  </si>
  <si>
    <t>ChiPathClusterDescriptor</t>
  </si>
  <si>
    <t>ChiClusterDescriptor</t>
  </si>
  <si>
    <t>ChiChainDescriptor</t>
  </si>
  <si>
    <t>CarbonTypesDescriptor</t>
  </si>
  <si>
    <t>BPolDescriptor</t>
  </si>
  <si>
    <t>BondCountDescriptor</t>
  </si>
  <si>
    <t>BCUTDescriptor</t>
  </si>
  <si>
    <t>BasicGroupCountDescriptor</t>
  </si>
  <si>
    <t>AutocorrelationDescriptorPolarizability</t>
  </si>
  <si>
    <t>AutocorrelationDescriptorMass</t>
  </si>
  <si>
    <t>AutocorrelationDescriptorCharge</t>
  </si>
  <si>
    <t>AtomCountDescriptor</t>
  </si>
  <si>
    <t>AromaticBondsCountDescriptor</t>
  </si>
  <si>
    <t>AromaticAtomsCountDescriptor</t>
  </si>
  <si>
    <t>APolDescriptor</t>
  </si>
  <si>
    <t>ALOGPDescriptor</t>
  </si>
  <si>
    <t>AcidicGroupCountDescriptor</t>
  </si>
  <si>
    <t>CDK_ALOGPDescriptor</t>
    <phoneticPr fontId="1"/>
  </si>
  <si>
    <t>CDK_APolDescriptor</t>
    <phoneticPr fontId="1"/>
  </si>
  <si>
    <t>CDK_AromaticAtomsCountDescriptor</t>
    <phoneticPr fontId="1"/>
  </si>
  <si>
    <t>CDK_AromaticBondsCountDescriptor</t>
    <phoneticPr fontId="1"/>
  </si>
  <si>
    <t>CDK_AtomCountDescriptor</t>
    <phoneticPr fontId="1"/>
  </si>
  <si>
    <t>CDK_AutocorrelationDescriptorCharge</t>
    <phoneticPr fontId="1"/>
  </si>
  <si>
    <t>CDK_AutocorrelationDescriptorMass</t>
    <phoneticPr fontId="1"/>
  </si>
  <si>
    <t>CDK_AutocorrelationDescriptorPolarizability</t>
    <phoneticPr fontId="1"/>
  </si>
  <si>
    <t>CDK_BasicGroupCountDescriptor</t>
    <phoneticPr fontId="1"/>
  </si>
  <si>
    <t>CDK_AcidicGroupCountDescriptor</t>
    <phoneticPr fontId="1"/>
  </si>
  <si>
    <t>Smiles</t>
    <phoneticPr fontId="1"/>
  </si>
  <si>
    <t>CCOCC</t>
    <phoneticPr fontId="1"/>
  </si>
  <si>
    <t>Name</t>
    <phoneticPr fontId="1"/>
  </si>
  <si>
    <t>ethane</t>
    <phoneticPr fontId="1"/>
  </si>
  <si>
    <t>acetic acid</t>
    <phoneticPr fontId="1"/>
  </si>
  <si>
    <t>diethyl ether</t>
    <phoneticPr fontId="1"/>
  </si>
  <si>
    <t>diethyl amine</t>
    <phoneticPr fontId="1"/>
  </si>
  <si>
    <t>CCNCC</t>
    <phoneticPr fontId="1"/>
  </si>
</sst>
</file>

<file path=xl/styles.xml><?xml version="1.0" encoding="utf-8"?>
<styleSheet xmlns="http://schemas.openxmlformats.org/spreadsheetml/2006/main">
  <fonts count="2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">
    <xf numFmtId="0" fontId="0" fillId="0" borderId="0" xfId="0">
      <alignment vertical="center"/>
    </xf>
  </cellXfs>
  <cellStyles count="1">
    <cellStyle name="標準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sheetPr codeName="Sheet3"/>
  <dimension ref="A1:B5"/>
  <sheetViews>
    <sheetView tabSelected="1" workbookViewId="0"/>
  </sheetViews>
  <sheetFormatPr defaultRowHeight="13"/>
  <sheetData>
    <row r="1" spans="1:2">
      <c r="A1" t="s">
        <v>64</v>
      </c>
      <c r="B1" t="s">
        <v>62</v>
      </c>
    </row>
    <row r="2" spans="1:2">
      <c r="A2" t="s">
        <v>65</v>
      </c>
      <c r="B2" t="s">
        <v>1</v>
      </c>
    </row>
    <row r="3" spans="1:2">
      <c r="A3" t="s">
        <v>66</v>
      </c>
      <c r="B3" t="s">
        <v>0</v>
      </c>
    </row>
    <row r="4" spans="1:2">
      <c r="A4" t="s">
        <v>67</v>
      </c>
      <c r="B4" t="s">
        <v>63</v>
      </c>
    </row>
    <row r="5" spans="1:2">
      <c r="A5" t="s">
        <v>68</v>
      </c>
      <c r="B5" t="s">
        <v>69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"/>
  <dimension ref="A1:K5"/>
  <sheetViews>
    <sheetView workbookViewId="0"/>
  </sheetViews>
  <sheetFormatPr defaultRowHeight="13"/>
  <sheetData>
    <row r="1" spans="1:11">
      <c r="A1" t="str">
        <f>Compounds!B1</f>
        <v>Smiles</v>
      </c>
      <c r="B1" t="s">
        <v>61</v>
      </c>
      <c r="C1" t="s">
        <v>52</v>
      </c>
      <c r="D1" t="s">
        <v>53</v>
      </c>
      <c r="E1" t="s">
        <v>54</v>
      </c>
      <c r="F1" t="s">
        <v>55</v>
      </c>
      <c r="G1" t="s">
        <v>56</v>
      </c>
      <c r="H1" t="s">
        <v>57</v>
      </c>
      <c r="I1" t="s">
        <v>58</v>
      </c>
      <c r="J1" t="s">
        <v>59</v>
      </c>
      <c r="K1" t="s">
        <v>60</v>
      </c>
    </row>
    <row r="2" spans="1:11">
      <c r="A2" t="str">
        <f>Compounds!B2</f>
        <v>CC</v>
      </c>
      <c r="B2" t="str">
        <f>CDK_AcidicGroupCountDescriptor($A2)</f>
        <v>0</v>
      </c>
      <c r="C2" t="str">
        <f>CDK_ALOGPDescriptor($A2)</f>
        <v>0.6822,0.46539684,10.5566</v>
      </c>
      <c r="D2" t="str">
        <f>CDK_APolDescriptor($A2)</f>
        <v>7.520758</v>
      </c>
      <c r="E2" t="str">
        <f>CDK_AromaticAtomsCountDescriptor($A2)</f>
        <v>0</v>
      </c>
      <c r="F2" t="str">
        <f>CDK_AromaticBondsCountDescriptor($A2)</f>
        <v>0</v>
      </c>
      <c r="G2" t="str">
        <f>CDK_AtomCountDescriptor($A2)</f>
        <v>8</v>
      </c>
      <c r="H2" t="str">
        <f>CDK_AutocorrelationDescriptorCharge($A2)</f>
        <v>0,0,0,0,0</v>
      </c>
      <c r="I2" t="str">
        <f>CDK_AutocorrelationDescriptorMass($A2)</f>
        <v>2,1,0,0,0</v>
      </c>
      <c r="J2" t="str">
        <f>CDK_AutocorrelationDescriptorPolarizability($A2)</f>
        <v>29.9460605,14.97303025,0,0,0</v>
      </c>
      <c r="K2" t="str">
        <f>CDK_BasicGroupCountDescriptor($A2)</f>
        <v>0</v>
      </c>
    </row>
    <row r="3" spans="1:11">
      <c r="A3" t="str">
        <f>Compounds!B3</f>
        <v>CC(=O)O</v>
      </c>
      <c r="B3" t="str">
        <f t="shared" ref="B3:B5" si="0">CDK_AcidicGroupCountDescriptor($A3)</f>
        <v>1</v>
      </c>
      <c r="C3" t="str">
        <f t="shared" ref="C3:C5" si="1">CDK_ALOGPDescriptor($A3)</f>
        <v>-0.2299,0.05285401,12.6437</v>
      </c>
      <c r="D3" t="str">
        <f t="shared" ref="D3:D5" si="2">CDK_APolDescriptor($A3)</f>
        <v>7.791172</v>
      </c>
      <c r="E3" t="str">
        <f t="shared" ref="E3:E5" si="3">CDK_AromaticAtomsCountDescriptor($A3)</f>
        <v>0</v>
      </c>
      <c r="F3" t="str">
        <f t="shared" ref="F3:F5" si="4">CDK_AromaticBondsCountDescriptor($A3)</f>
        <v>0</v>
      </c>
      <c r="G3" t="str">
        <f t="shared" ref="G3:G5" si="5">CDK_AtomCountDescriptor($A3)</f>
        <v>8</v>
      </c>
      <c r="H3" t="str">
        <f t="shared" ref="H3:H5" si="6">CDK_AutocorrelationDescriptorCharge($A3)</f>
        <v>0.194598407923705,-0.0910121789036757,-0.00628702505817702,0,0</v>
      </c>
      <c r="I3" t="str">
        <f t="shared" ref="I3:I5" si="7">CDK_AutocorrelationDescriptorMass($A3)</f>
        <v>5.54893807108189,3.66418395426513,4.43865298980608,0,0</v>
      </c>
      <c r="J3" t="str">
        <f t="shared" ref="J3:J5" si="8">CDK_AutocorrelationDescriptorPolarizability($A3)</f>
        <v>58.780575625,47.106336,38.8410481875,0,0</v>
      </c>
      <c r="K3" t="str">
        <f t="shared" ref="K3:K5" si="9">CDK_BasicGroupCountDescriptor($A3)</f>
        <v>0</v>
      </c>
    </row>
    <row r="4" spans="1:11">
      <c r="A4" t="str">
        <f>Compounds!B4</f>
        <v>CCOCC</v>
      </c>
      <c r="B4" t="str">
        <f t="shared" si="0"/>
        <v>0</v>
      </c>
      <c r="C4" t="str">
        <f t="shared" si="1"/>
        <v>0.5513,0.30393169,21.6001</v>
      </c>
      <c r="D4" t="str">
        <f t="shared" si="2"/>
        <v>14.50993</v>
      </c>
      <c r="E4" t="str">
        <f t="shared" si="3"/>
        <v>0</v>
      </c>
      <c r="F4" t="str">
        <f t="shared" si="4"/>
        <v>0</v>
      </c>
      <c r="G4" t="str">
        <f t="shared" si="5"/>
        <v>15</v>
      </c>
      <c r="H4" t="str">
        <f t="shared" si="6"/>
        <v>0.168022027941362,-0.0907856265599646,-0.00428223327925089,0.00985642488851209,0.00120042098002246</v>
      </c>
      <c r="I4" t="str">
        <f t="shared" si="7"/>
        <v>5.77446903554095,4.66418395426513,3.66418395426513,2,1</v>
      </c>
      <c r="J4" t="str">
        <f t="shared" si="8"/>
        <v>124.857401976563,103.409907578125,75.601162328125,48.354461953125,20.9426360976563</v>
      </c>
      <c r="K4" t="str">
        <f t="shared" si="9"/>
        <v>0</v>
      </c>
    </row>
    <row r="5" spans="1:11">
      <c r="A5" t="str">
        <f>Compounds!B5</f>
        <v>CCNCC</v>
      </c>
      <c r="B5" t="str">
        <f t="shared" si="0"/>
        <v>0</v>
      </c>
      <c r="C5" t="str">
        <f t="shared" si="1"/>
        <v>0.285,0.081225,23.281</v>
      </c>
      <c r="D5" t="str">
        <f t="shared" si="2"/>
        <v>15.474723</v>
      </c>
      <c r="E5" t="str">
        <f t="shared" si="3"/>
        <v>0</v>
      </c>
      <c r="F5" t="str">
        <f t="shared" si="4"/>
        <v>0</v>
      </c>
      <c r="G5" t="str">
        <f t="shared" si="5"/>
        <v>16</v>
      </c>
      <c r="H5" t="str">
        <f t="shared" si="6"/>
        <v>0.0641189982597253,-0.0351010558081389,-0.000969520438101855,0.00359972804307178,0.000411349073306268</v>
      </c>
      <c r="I5" t="str">
        <f t="shared" si="7"/>
        <v>5.35998030127648,4.33236386636089,3.33236386636089,2,1</v>
      </c>
      <c r="J5" t="str">
        <f t="shared" si="8"/>
        <v>153.893504039063,128.948268703125,93.8138123281251,57.743904328125,23.8931550039063</v>
      </c>
      <c r="K5" t="str">
        <f t="shared" si="9"/>
        <v>1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2"/>
  <dimension ref="A1:AY5"/>
  <sheetViews>
    <sheetView workbookViewId="0">
      <selection activeCell="B2" sqref="B2"/>
    </sheetView>
  </sheetViews>
  <sheetFormatPr defaultRowHeight="13"/>
  <sheetData>
    <row r="1" spans="1:51">
      <c r="A1" t="str">
        <f>Compounds!B1</f>
        <v>Smiles</v>
      </c>
      <c r="B1" t="s">
        <v>2</v>
      </c>
      <c r="C1" t="s">
        <v>3</v>
      </c>
      <c r="D1" t="s">
        <v>4</v>
      </c>
      <c r="E1" t="s">
        <v>5</v>
      </c>
      <c r="F1" t="s">
        <v>6</v>
      </c>
      <c r="G1" t="s">
        <v>7</v>
      </c>
      <c r="H1" t="s">
        <v>8</v>
      </c>
      <c r="I1" t="s">
        <v>9</v>
      </c>
      <c r="J1" t="s">
        <v>10</v>
      </c>
      <c r="K1" t="s">
        <v>11</v>
      </c>
      <c r="L1" t="s">
        <v>12</v>
      </c>
      <c r="M1" t="s">
        <v>13</v>
      </c>
      <c r="N1" t="s">
        <v>14</v>
      </c>
      <c r="O1" t="s">
        <v>15</v>
      </c>
      <c r="P1" t="s">
        <v>16</v>
      </c>
      <c r="Q1" t="s">
        <v>17</v>
      </c>
      <c r="R1" t="s">
        <v>18</v>
      </c>
      <c r="S1" t="s">
        <v>19</v>
      </c>
      <c r="T1" t="s">
        <v>20</v>
      </c>
      <c r="U1" t="s">
        <v>21</v>
      </c>
      <c r="V1" t="s">
        <v>22</v>
      </c>
      <c r="W1" t="s">
        <v>23</v>
      </c>
      <c r="X1" t="s">
        <v>24</v>
      </c>
      <c r="Y1" t="s">
        <v>25</v>
      </c>
      <c r="Z1" t="s">
        <v>26</v>
      </c>
      <c r="AA1" t="s">
        <v>27</v>
      </c>
      <c r="AB1" t="s">
        <v>28</v>
      </c>
      <c r="AC1" t="s">
        <v>29</v>
      </c>
      <c r="AD1" t="s">
        <v>30</v>
      </c>
      <c r="AE1" t="s">
        <v>31</v>
      </c>
      <c r="AF1" t="s">
        <v>32</v>
      </c>
      <c r="AG1" t="s">
        <v>33</v>
      </c>
      <c r="AH1" t="s">
        <v>34</v>
      </c>
      <c r="AI1" t="s">
        <v>35</v>
      </c>
      <c r="AJ1" t="s">
        <v>36</v>
      </c>
      <c r="AK1" t="s">
        <v>37</v>
      </c>
      <c r="AL1" t="s">
        <v>38</v>
      </c>
      <c r="AM1" t="s">
        <v>39</v>
      </c>
      <c r="AN1" t="s">
        <v>40</v>
      </c>
      <c r="AO1" t="s">
        <v>41</v>
      </c>
      <c r="AP1" t="s">
        <v>42</v>
      </c>
      <c r="AQ1" t="s">
        <v>43</v>
      </c>
      <c r="AR1" t="s">
        <v>44</v>
      </c>
      <c r="AS1" t="s">
        <v>45</v>
      </c>
      <c r="AT1" t="s">
        <v>46</v>
      </c>
      <c r="AU1" t="s">
        <v>47</v>
      </c>
      <c r="AV1" t="s">
        <v>48</v>
      </c>
      <c r="AW1" t="s">
        <v>49</v>
      </c>
      <c r="AX1" t="s">
        <v>50</v>
      </c>
      <c r="AY1" t="s">
        <v>51</v>
      </c>
    </row>
    <row r="2" spans="1:51">
      <c r="A2" t="str">
        <f>Compounds!B2</f>
        <v>CC</v>
      </c>
      <c r="B2" t="str">
        <f>CDK_MolecularDescriptorValue(B$1,$A2)</f>
        <v>0,0,0,0,0,0,0,0,0,0,0</v>
      </c>
      <c r="C2" t="str">
        <f t="shared" ref="C2:AY5" si="0">CDK_MolecularDescriptorValue(C$1,$A2)</f>
        <v>0</v>
      </c>
      <c r="D2" t="str">
        <f t="shared" si="0"/>
        <v>2</v>
      </c>
      <c r="E2" t="str">
        <f t="shared" si="0"/>
        <v>1.478</v>
      </c>
      <c r="F2" t="str">
        <f t="shared" si="0"/>
        <v>1,0</v>
      </c>
      <c r="G2" t="str">
        <f t="shared" si="0"/>
        <v>NaN,NaN,NaN,NaN,NaN,NaN,NaN,NaN,NaN,NaN,NaN,NaN,NaN,NaN,NaN,NaN,NaN</v>
      </c>
      <c r="H2" t="str">
        <f t="shared" si="0"/>
        <v>3,1.5,0,0,0</v>
      </c>
      <c r="I2" t="str">
        <f t="shared" si="0"/>
        <v>30.04695024</v>
      </c>
      <c r="J2" t="str">
        <f t="shared" si="0"/>
        <v>1</v>
      </c>
      <c r="K2" t="str">
        <f t="shared" si="0"/>
        <v>NaN</v>
      </c>
      <c r="L2" t="str">
        <f t="shared" si="0"/>
        <v>0</v>
      </c>
      <c r="M2" t="str">
        <f t="shared" si="0"/>
        <v>0</v>
      </c>
      <c r="N2" t="str">
        <f t="shared" si="0"/>
        <v>0</v>
      </c>
      <c r="O2" t="str">
        <f t="shared" si="0"/>
        <v>0,NaN</v>
      </c>
      <c r="P2" t="str">
        <f t="shared" si="0"/>
        <v>0</v>
      </c>
      <c r="Q2" t="str">
        <f t="shared" si="0"/>
        <v>NaN,NaN,NaN,NaN,NaN,NaN,NaN</v>
      </c>
      <c r="R2" t="str">
        <f t="shared" si="0"/>
        <v>1,0,0,0,0,0,0,0,0,0,0,0,0,0,0,0,0,0,0</v>
      </c>
      <c r="S2" t="str">
        <f t="shared" si="0"/>
        <v>1.68</v>
      </c>
      <c r="T2" t="str">
        <f t="shared" si="0"/>
        <v>0</v>
      </c>
      <c r="U2" t="str">
        <f t="shared" si="0"/>
        <v>NaN,NaN</v>
      </c>
      <c r="V2" t="str">
        <f t="shared" si="0"/>
        <v>0</v>
      </c>
      <c r="W2" t="str">
        <f t="shared" si="0"/>
        <v>2</v>
      </c>
      <c r="X2" t="str">
        <f t="shared" si="0"/>
        <v>0,0,0,0,0,0,1,0,0,0,0,0,0,0,0,0,0,0,0,0,0,0,0,0,0,0,0,0,0,0,0,0,0,0,0,0,0,0,0,0,0,0,0,0,0,0,0,0,0,0,0,0,0,0,0,0,0,0,0,0,0,0,0,0,0,0,0,0,0,0,0,0,0,0,0,0,0,0,0</v>
      </c>
      <c r="Y2" t="str">
        <f t="shared" si="0"/>
        <v>2,0,0</v>
      </c>
      <c r="Z2" t="str">
        <f t="shared" si="0"/>
        <v>1</v>
      </c>
      <c r="AA2" t="str">
        <f t="shared" si="0"/>
        <v>0</v>
      </c>
      <c r="AB2" t="str">
        <f t="shared" si="0"/>
        <v>0</v>
      </c>
      <c r="AC2" t="str">
        <f t="shared" si="0"/>
        <v>NaN,NaN,NaN,NaN,NaN,NaN,NaN,NaN,NaN</v>
      </c>
      <c r="AD2" t="str">
        <f t="shared" si="0"/>
        <v>47</v>
      </c>
      <c r="AE2" t="str">
        <f t="shared" si="0"/>
        <v>0</v>
      </c>
      <c r="AF2" t="str">
        <f t="shared" si="0"/>
        <v>2</v>
      </c>
      <c r="AG2" t="str">
        <f t="shared" si="0"/>
        <v>NaN,NaN,NaN,NaN,NaN,NaN,NaN,NaN,NaN,NaN,NaN,NaN,NaN,NaN,NaN,NaN,NaN,NaN,NaN,NaN,NaN,NaN,NaN,NaN,NaN,NaN,NaN,NaN,NaN</v>
      </c>
      <c r="AH2" t="str">
        <f t="shared" si="0"/>
        <v>2,1,0,0,0,0,0,0,2,1,0,0,0,0,0,0</v>
      </c>
      <c r="AI2" t="str">
        <f t="shared" si="0"/>
        <v>0,0,0,0,0,0</v>
      </c>
      <c r="AJ2" t="str">
        <f t="shared" si="0"/>
        <v>0,0,0,0,0,0,0,0</v>
      </c>
      <c r="AK2" t="str">
        <f t="shared" si="0"/>
        <v>0,0,0,0,0,0,0,0,0,0</v>
      </c>
      <c r="AL2" t="str">
        <f t="shared" si="0"/>
        <v>0,0,0,0,0,2,0,0,0</v>
      </c>
      <c r="AM2" t="str">
        <f t="shared" si="0"/>
        <v>6.559242</v>
      </c>
      <c r="AN2" t="str">
        <f t="shared" si="0"/>
        <v>1</v>
      </c>
      <c r="AO2" t="str">
        <f t="shared" si="0"/>
        <v>11.89,12.11,-0.177757819850023,0.0422421801499769,3.7595,3.9795</v>
      </c>
      <c r="AP2" t="str">
        <f t="shared" si="0"/>
        <v>0</v>
      </c>
      <c r="AQ2" t="str">
        <f t="shared" si="0"/>
        <v>29.9460605,14.97303025,0,0,0</v>
      </c>
      <c r="AR2" t="str">
        <f t="shared" si="0"/>
        <v>2,1,0,0,0</v>
      </c>
      <c r="AS2" t="str">
        <f t="shared" si="0"/>
        <v>0,0,0,0,0</v>
      </c>
      <c r="AT2" t="str">
        <f t="shared" si="0"/>
        <v>8</v>
      </c>
      <c r="AU2" t="str">
        <f t="shared" si="0"/>
        <v>0</v>
      </c>
      <c r="AV2" t="str">
        <f t="shared" si="0"/>
        <v>0</v>
      </c>
      <c r="AW2" t="str">
        <f t="shared" si="0"/>
        <v>7.520758</v>
      </c>
      <c r="AX2" t="str">
        <f t="shared" si="0"/>
        <v>0.6822,0.46539684,10.5566</v>
      </c>
      <c r="AY2" t="str">
        <f t="shared" si="0"/>
        <v>0</v>
      </c>
    </row>
    <row r="3" spans="1:51">
      <c r="A3" t="str">
        <f>Compounds!B3</f>
        <v>CC(=O)O</v>
      </c>
      <c r="B3" t="str">
        <f t="shared" ref="B3:B5" si="1">CDK_MolecularDescriptorValue(B$1,$A3)</f>
        <v>0,0,0,0,0,0,0,0,0,0,0</v>
      </c>
      <c r="C3" t="str">
        <f t="shared" si="0"/>
        <v>0.621447819673983</v>
      </c>
      <c r="D3" t="str">
        <f t="shared" si="0"/>
        <v>12</v>
      </c>
      <c r="E3" t="str">
        <f t="shared" si="0"/>
        <v>-0.08</v>
      </c>
      <c r="F3" t="str">
        <f t="shared" si="0"/>
        <v>9,0</v>
      </c>
      <c r="G3" t="str">
        <f t="shared" si="0"/>
        <v>NaN,NaN,NaN,NaN,NaN,NaN,NaN,NaN,NaN,NaN,NaN,NaN,NaN,NaN,NaN,NaN,NaN</v>
      </c>
      <c r="H3" t="str">
        <f t="shared" si="0"/>
        <v>6.73205080756888,1.68301270189222,4.48803387171259,4.48803387171259,0</v>
      </c>
      <c r="I3" t="str">
        <f t="shared" si="0"/>
        <v>60.0211294</v>
      </c>
      <c r="J3" t="str">
        <f t="shared" si="0"/>
        <v>2.58496250072116</v>
      </c>
      <c r="K3" t="str">
        <f t="shared" si="0"/>
        <v>NaN</v>
      </c>
      <c r="L3" t="str">
        <f t="shared" si="0"/>
        <v>37.3</v>
      </c>
      <c r="M3" t="str">
        <f t="shared" si="0"/>
        <v>0</v>
      </c>
      <c r="N3" t="str">
        <f t="shared" si="0"/>
        <v>0</v>
      </c>
      <c r="O3" t="str">
        <f t="shared" si="0"/>
        <v>1,NaN</v>
      </c>
      <c r="P3" t="str">
        <f t="shared" si="0"/>
        <v>0.5</v>
      </c>
      <c r="Q3" t="str">
        <f t="shared" si="0"/>
        <v>NaN,NaN,NaN,NaN,NaN,NaN,NaN</v>
      </c>
      <c r="R3" t="str">
        <f t="shared" si="0"/>
        <v>0,0,1,0,0,0,0,0,0,0,0.5,0,0,0,0,0,0,0,0</v>
      </c>
      <c r="S3" t="str">
        <f t="shared" si="0"/>
        <v>1.46</v>
      </c>
      <c r="T3" t="str">
        <f t="shared" si="0"/>
        <v>2</v>
      </c>
      <c r="U3" t="str">
        <f t="shared" si="0"/>
        <v>NaN,NaN</v>
      </c>
      <c r="V3" t="str">
        <f t="shared" si="0"/>
        <v>2</v>
      </c>
      <c r="W3" t="str">
        <f t="shared" si="0"/>
        <v>3</v>
      </c>
      <c r="X3" t="str">
        <f t="shared" si="0"/>
        <v>0,0,0,0,0,0,1,0,0,0,0,0,0,0,0,1,0,0,0,0,0,0,0,0,0,0,0,0,0,0,0,0,0,1,1,0,0,0,0,0,0,0,0,0,0,0,0,0,0,0,0,0,0,0,0,0,0,0,0,0,0,0,0,0,0,0,0,0,0,0,0,0,0,0,0,0,0,0,0</v>
      </c>
      <c r="Y3" t="str">
        <f t="shared" si="0"/>
        <v>4,1.33333333333333,NaN</v>
      </c>
      <c r="Z3" t="str">
        <f t="shared" si="0"/>
        <v>0.5</v>
      </c>
      <c r="AA3" t="str">
        <f t="shared" si="0"/>
        <v>1</v>
      </c>
      <c r="AB3" t="str">
        <f t="shared" si="0"/>
        <v>2</v>
      </c>
      <c r="AC3" t="str">
        <f t="shared" si="0"/>
        <v>NaN,NaN,NaN,NaN,NaN,NaN,NaN,NaN,NaN</v>
      </c>
      <c r="AD3" t="str">
        <f t="shared" si="0"/>
        <v>37.02</v>
      </c>
      <c r="AE3" t="str">
        <f t="shared" si="0"/>
        <v>0</v>
      </c>
      <c r="AF3" t="str">
        <f t="shared" si="0"/>
        <v>9</v>
      </c>
      <c r="AG3" t="str">
        <f t="shared" si="0"/>
        <v>NaN,NaN,NaN,NaN,NaN,NaN,NaN,NaN,NaN,NaN,NaN,NaN,NaN,NaN,NaN,NaN,NaN,NaN,NaN,NaN,NaN,NaN,NaN,NaN,NaN,NaN,NaN,NaN,NaN</v>
      </c>
      <c r="AH3" t="str">
        <f t="shared" si="0"/>
        <v>3.57735026918963,1.73205080756888,1.73205080756888,0,0,0,0,0,2.35546188596382,0.927730942981911,0.519018035899438,0,0,0,0,0</v>
      </c>
      <c r="AI3" t="str">
        <f t="shared" si="0"/>
        <v>0,0,0,0,0,0</v>
      </c>
      <c r="AJ3" t="str">
        <f t="shared" si="0"/>
        <v>0.577350269189626,0,0,0,0.0912870929175277,0,0,0</v>
      </c>
      <c r="AK3" t="str">
        <f t="shared" si="0"/>
        <v>0,0,0,0,0,0,0,0,0,0</v>
      </c>
      <c r="AL3" t="str">
        <f t="shared" si="0"/>
        <v>0,0,1,0,0,1,0,0,0</v>
      </c>
      <c r="AM3" t="str">
        <f t="shared" si="0"/>
        <v>5.330828</v>
      </c>
      <c r="AN3" t="str">
        <f t="shared" si="0"/>
        <v>3</v>
      </c>
      <c r="AO3" t="str">
        <f t="shared" si="0"/>
        <v>11.9966879762366,15.9982572603197,-0.351666803410558,0.275648439067483,3.09299617864267,4.35788090208676</v>
      </c>
      <c r="AP3" t="str">
        <f t="shared" si="0"/>
        <v>0</v>
      </c>
      <c r="AQ3" t="str">
        <f t="shared" si="0"/>
        <v>58.780575625,47.106336,38.8410481875,0,0</v>
      </c>
      <c r="AR3" t="str">
        <f t="shared" si="0"/>
        <v>5.54893807108189,3.66418395426513,4.43865298980608,0,0</v>
      </c>
      <c r="AS3" t="str">
        <f t="shared" si="0"/>
        <v>0.194598407923705,-0.0910121789036757,-0.00628702505817702,0,0</v>
      </c>
      <c r="AT3" t="str">
        <f t="shared" si="0"/>
        <v>8</v>
      </c>
      <c r="AU3" t="str">
        <f t="shared" si="0"/>
        <v>0</v>
      </c>
      <c r="AV3" t="str">
        <f t="shared" si="0"/>
        <v>0</v>
      </c>
      <c r="AW3" t="str">
        <f t="shared" si="0"/>
        <v>7.791172</v>
      </c>
      <c r="AX3" t="str">
        <f t="shared" si="0"/>
        <v>-0.2299,0.05285401,12.6437</v>
      </c>
      <c r="AY3" t="str">
        <f t="shared" si="0"/>
        <v>1</v>
      </c>
    </row>
    <row r="4" spans="1:51">
      <c r="A4" t="str">
        <f>Compounds!B4</f>
        <v>CCOCC</v>
      </c>
      <c r="B4" t="str">
        <f t="shared" si="1"/>
        <v>0,0,0,0,0,0,0,0,0,0,0</v>
      </c>
      <c r="C4" t="str">
        <f t="shared" si="0"/>
        <v>0.124606529199986</v>
      </c>
      <c r="D4" t="str">
        <f t="shared" si="0"/>
        <v>14</v>
      </c>
      <c r="E4" t="str">
        <f t="shared" si="0"/>
        <v>0.866</v>
      </c>
      <c r="F4" t="str">
        <f t="shared" si="0"/>
        <v>20,2</v>
      </c>
      <c r="G4" t="str">
        <f t="shared" si="0"/>
        <v>NaN,NaN,NaN,NaN,NaN,NaN,NaN,NaN,NaN,NaN,NaN,NaN,NaN,NaN,NaN,NaN,NaN</v>
      </c>
      <c r="H4" t="str">
        <f t="shared" si="0"/>
        <v>8.84987373415292,1.76997474683058,2.70710678118655,2.70710678118655,0</v>
      </c>
      <c r="I4" t="str">
        <f t="shared" si="0"/>
        <v>74.07316502</v>
      </c>
      <c r="J4" t="str">
        <f t="shared" si="0"/>
        <v>3</v>
      </c>
      <c r="K4" t="str">
        <f t="shared" si="0"/>
        <v>NaN</v>
      </c>
      <c r="L4" t="str">
        <f t="shared" si="0"/>
        <v>9.23</v>
      </c>
      <c r="M4" t="str">
        <f t="shared" si="0"/>
        <v>0</v>
      </c>
      <c r="N4" t="str">
        <f t="shared" si="0"/>
        <v>2</v>
      </c>
      <c r="O4" t="str">
        <f t="shared" si="0"/>
        <v>1,NaN</v>
      </c>
      <c r="P4" t="str">
        <f t="shared" si="0"/>
        <v>0.5</v>
      </c>
      <c r="Q4" t="str">
        <f t="shared" si="0"/>
        <v>NaN,NaN,NaN,NaN,NaN,NaN,NaN</v>
      </c>
      <c r="R4" t="str">
        <f t="shared" si="0"/>
        <v>0.25,2.3094010767585,0,0,0.5,0,0,0,0,0,0,0,0,0,0,0,0,0,0</v>
      </c>
      <c r="S4" t="str">
        <f t="shared" si="0"/>
        <v>1.79</v>
      </c>
      <c r="T4" t="str">
        <f t="shared" si="0"/>
        <v>2</v>
      </c>
      <c r="U4" t="str">
        <f t="shared" si="0"/>
        <v>NaN,NaN</v>
      </c>
      <c r="V4" t="str">
        <f t="shared" si="0"/>
        <v>0</v>
      </c>
      <c r="W4" t="str">
        <f t="shared" si="0"/>
        <v>5</v>
      </c>
      <c r="X4" t="str">
        <f t="shared" si="0"/>
        <v>0,0,0,0,0,0,2,0,2,0,0,0,0,0,0,0,0,0,0,0,0,0,0,0,0,0,0,0,0,0,0,0,0,0,0,1,0,0,0,0,0,0,0,0,0,0,0,0,0,0,0,0,0,0,0,0,0,0,0,0,0,0,0,0,0,0,0,0,0,0,0,0,0,0,0,0,0,0,0</v>
      </c>
      <c r="Y4" t="str">
        <f t="shared" si="0"/>
        <v>5,4,4</v>
      </c>
      <c r="Z4" t="str">
        <f t="shared" si="0"/>
        <v>1</v>
      </c>
      <c r="AA4" t="str">
        <f t="shared" si="0"/>
        <v>0</v>
      </c>
      <c r="AB4" t="str">
        <f t="shared" si="0"/>
        <v>1</v>
      </c>
      <c r="AC4" t="str">
        <f t="shared" si="0"/>
        <v>NaN,NaN,NaN,NaN,NaN,NaN,NaN,NaN,NaN</v>
      </c>
      <c r="AD4" t="str">
        <f t="shared" si="0"/>
        <v>176.01</v>
      </c>
      <c r="AE4" t="str">
        <f t="shared" si="0"/>
        <v>0</v>
      </c>
      <c r="AF4" t="str">
        <f t="shared" si="0"/>
        <v>24</v>
      </c>
      <c r="AG4" t="str">
        <f t="shared" si="0"/>
        <v>NaN,NaN,NaN,NaN,NaN,NaN,NaN,NaN,NaN,NaN,NaN,NaN,NaN,NaN,NaN,NaN,NaN,NaN,NaN,NaN,NaN,NaN,NaN,NaN,NaN,NaN,NaN,NaN,NaN</v>
      </c>
      <c r="AH4" t="str">
        <f t="shared" si="0"/>
        <v>4.12132034355964,2.41421356237309,1.35355339059327,0.707106781186547,0.353553390593274,0,0,0,3.82246185283696,1.99156383156272,0.781474414421557,0.408248290463863,0.204124145231932,0,0,0</v>
      </c>
      <c r="AI4" t="str">
        <f t="shared" si="0"/>
        <v>0,0,0,0,0,0</v>
      </c>
      <c r="AJ4" t="str">
        <f t="shared" si="0"/>
        <v>0,0,0,0,0,0,0,0</v>
      </c>
      <c r="AK4" t="str">
        <f t="shared" si="0"/>
        <v>0,0,0,0,0,0,0,0,0,0</v>
      </c>
      <c r="AL4" t="str">
        <f t="shared" si="0"/>
        <v>0,0,0,0,0,4,0,0,0</v>
      </c>
      <c r="AM4" t="str">
        <f t="shared" si="0"/>
        <v>12.84807</v>
      </c>
      <c r="AN4" t="str">
        <f t="shared" si="0"/>
        <v>4</v>
      </c>
      <c r="AO4" t="str">
        <f t="shared" si="0"/>
        <v>11.89,15.9949156360893,-0.381188044916672,0.119459794044455,4.55954534161503,5.29994391024768</v>
      </c>
      <c r="AP4" t="str">
        <f t="shared" si="0"/>
        <v>0</v>
      </c>
      <c r="AQ4" t="str">
        <f t="shared" si="0"/>
        <v>124.857401976563,103.409907578125,75.601162328125,48.354461953125,20.9426360976563</v>
      </c>
      <c r="AR4" t="str">
        <f t="shared" si="0"/>
        <v>5.77446903554095,4.66418395426513,3.66418395426513,2,1</v>
      </c>
      <c r="AS4" t="str">
        <f t="shared" si="0"/>
        <v>0.168022027941362,-0.0907856265599646,-0.00428223327925089,0.00985642488851209,0.00120042098002246</v>
      </c>
      <c r="AT4" t="str">
        <f t="shared" si="0"/>
        <v>15</v>
      </c>
      <c r="AU4" t="str">
        <f t="shared" si="0"/>
        <v>0</v>
      </c>
      <c r="AV4" t="str">
        <f t="shared" si="0"/>
        <v>0</v>
      </c>
      <c r="AW4" t="str">
        <f t="shared" si="0"/>
        <v>14.50993</v>
      </c>
      <c r="AX4" t="str">
        <f t="shared" si="0"/>
        <v>0.5513,0.30393169,21.6001</v>
      </c>
      <c r="AY4" t="str">
        <f t="shared" si="0"/>
        <v>0</v>
      </c>
    </row>
    <row r="5" spans="1:51">
      <c r="A5" t="str">
        <f>Compounds!B5</f>
        <v>CCNCC</v>
      </c>
      <c r="B5" t="str">
        <f t="shared" si="1"/>
        <v>0,0,0,0,0,0,0,0,0,0,0</v>
      </c>
      <c r="C5" t="str">
        <f t="shared" si="0"/>
        <v>0.164593514799014</v>
      </c>
      <c r="D5" t="str">
        <f t="shared" si="0"/>
        <v>14</v>
      </c>
      <c r="E5" t="str">
        <f t="shared" si="0"/>
        <v>0.67</v>
      </c>
      <c r="F5" t="str">
        <f t="shared" si="0"/>
        <v>20,2</v>
      </c>
      <c r="G5" t="str">
        <f t="shared" si="0"/>
        <v>NaN,NaN,NaN,NaN,NaN,NaN,NaN,NaN,NaN,NaN,NaN,NaN,NaN,NaN,NaN,NaN,NaN</v>
      </c>
      <c r="H5" t="str">
        <f t="shared" si="0"/>
        <v>8.84987373415292,1.76997474683058,2.70710678118655,0,2.70710678118655</v>
      </c>
      <c r="I5" t="str">
        <f t="shared" si="0"/>
        <v>73.08914944</v>
      </c>
      <c r="J5" t="str">
        <f t="shared" si="0"/>
        <v>3</v>
      </c>
      <c r="K5" t="str">
        <f t="shared" si="0"/>
        <v>NaN</v>
      </c>
      <c r="L5" t="str">
        <f t="shared" si="0"/>
        <v>12.03</v>
      </c>
      <c r="M5" t="str">
        <f t="shared" si="0"/>
        <v>0</v>
      </c>
      <c r="N5" t="str">
        <f t="shared" si="0"/>
        <v>2</v>
      </c>
      <c r="O5" t="str">
        <f t="shared" si="0"/>
        <v>1,NaN</v>
      </c>
      <c r="P5" t="str">
        <f t="shared" si="0"/>
        <v>0.5</v>
      </c>
      <c r="Q5" t="str">
        <f t="shared" si="0"/>
        <v>NaN,NaN,NaN,NaN,NaN,NaN,NaN</v>
      </c>
      <c r="R5" t="str">
        <f t="shared" si="0"/>
        <v>0.25,2.3094010767585,0,0,0.5,0,0,0,0,0,0,0,0,0,0,0,0,0,0</v>
      </c>
      <c r="S5" t="str">
        <f t="shared" si="0"/>
        <v>1.79</v>
      </c>
      <c r="T5" t="str">
        <f t="shared" si="0"/>
        <v>2</v>
      </c>
      <c r="U5" t="str">
        <f t="shared" si="0"/>
        <v>NaN,NaN</v>
      </c>
      <c r="V5" t="str">
        <f t="shared" si="0"/>
        <v>0</v>
      </c>
      <c r="W5" t="str">
        <f t="shared" si="0"/>
        <v>5</v>
      </c>
      <c r="X5" t="str">
        <f t="shared" si="0"/>
        <v>0,0,0,0,0,0,2,0,2,0,0,0,0,0,0,0,0,0,0,0,0,0,0,1,0,0,0,0,0,0,0,0,0,0,0,0,0,0,0,0,0,0,0,0,0,0,0,0,0,0,0,0,0,0,0,0,0,0,0,0,0,0,0,0,0,0,0,0,0,0,0,0,0,0,0,0,0,0,0</v>
      </c>
      <c r="Y5" t="str">
        <f t="shared" si="0"/>
        <v>5,4,4</v>
      </c>
      <c r="Z5" t="str">
        <f t="shared" si="0"/>
        <v>1</v>
      </c>
      <c r="AA5" t="str">
        <f t="shared" si="0"/>
        <v>1</v>
      </c>
      <c r="AB5" t="str">
        <f t="shared" si="0"/>
        <v>1</v>
      </c>
      <c r="AC5" t="str">
        <f t="shared" si="0"/>
        <v>NaN,NaN,NaN,NaN,NaN,NaN,NaN,NaN,NaN</v>
      </c>
      <c r="AD5" t="str">
        <f t="shared" si="0"/>
        <v>205.01</v>
      </c>
      <c r="AE5" t="str">
        <f t="shared" si="0"/>
        <v>0</v>
      </c>
      <c r="AF5" t="str">
        <f t="shared" si="0"/>
        <v>24</v>
      </c>
      <c r="AG5" t="str">
        <f t="shared" si="0"/>
        <v>NaN,NaN,NaN,NaN,NaN,NaN,NaN,NaN,NaN,NaN,NaN,NaN,NaN,NaN,NaN,NaN,NaN,NaN,NaN,NaN,NaN,NaN,NaN,NaN,NaN,NaN,NaN,NaN,NaN</v>
      </c>
      <c r="AH5" t="str">
        <f t="shared" si="0"/>
        <v>4.12132034355964,2.41421356237309,1.35355339059327,0.707106781186547,0.353553390593274,0,0,0,3.91421356237309,2.12132034355964,0.957106781186547,0.5,0.25,0,0,0</v>
      </c>
      <c r="AI5" t="str">
        <f t="shared" si="0"/>
        <v>0,0,0,0,0,0</v>
      </c>
      <c r="AJ5" t="str">
        <f t="shared" si="0"/>
        <v>0,0,0,0,0,0,0,0</v>
      </c>
      <c r="AK5" t="str">
        <f t="shared" si="0"/>
        <v>0,0,0,0,0,0,0,0,0,0</v>
      </c>
      <c r="AL5" t="str">
        <f t="shared" si="0"/>
        <v>0,0,0,0,0,4,0,0,0</v>
      </c>
      <c r="AM5" t="str">
        <f t="shared" si="0"/>
        <v>12.685277</v>
      </c>
      <c r="AN5" t="str">
        <f t="shared" si="0"/>
        <v>4</v>
      </c>
      <c r="AO5" t="str">
        <f t="shared" si="0"/>
        <v>11.89,14.0030760575576,-0.316501120847174,0.0826112404291419,4.87422799052455,6.02352117144864</v>
      </c>
      <c r="AP5" t="str">
        <f t="shared" si="0"/>
        <v>1</v>
      </c>
      <c r="AQ5" t="str">
        <f t="shared" si="0"/>
        <v>153.893504039063,128.948268703125,93.8138123281251,57.743904328125,23.8931550039063</v>
      </c>
      <c r="AR5" t="str">
        <f t="shared" si="0"/>
        <v>5.35998030127648,4.33236386636089,3.33236386636089,2,1</v>
      </c>
      <c r="AS5" t="str">
        <f t="shared" si="0"/>
        <v>0.0641189982597253,-0.0351010558081389,-0.000969520438101855,0.00359972804307178,0.000411349073306268</v>
      </c>
      <c r="AT5" t="str">
        <f t="shared" si="0"/>
        <v>16</v>
      </c>
      <c r="AU5" t="str">
        <f t="shared" si="0"/>
        <v>0</v>
      </c>
      <c r="AV5" t="str">
        <f t="shared" si="0"/>
        <v>0</v>
      </c>
      <c r="AW5" t="str">
        <f t="shared" si="0"/>
        <v>15.474723</v>
      </c>
      <c r="AX5" t="str">
        <f t="shared" si="0"/>
        <v>0.285,0.081225,23.281</v>
      </c>
      <c r="AY5" t="str">
        <f t="shared" si="0"/>
        <v>0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Compounds</vt:lpstr>
      <vt:lpstr>By_Function</vt:lpstr>
      <vt:lpstr>By_Name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Kazuya Ujihara</dc:creator>
  <cp:lastModifiedBy>Kazuya Ujihara</cp:lastModifiedBy>
  <dcterms:created xsi:type="dcterms:W3CDTF">2017-08-20T10:44:02Z</dcterms:created>
  <dcterms:modified xsi:type="dcterms:W3CDTF">2017-09-10T01:33:20Z</dcterms:modified>
</cp:coreProperties>
</file>